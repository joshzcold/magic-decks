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" sheetId="1" state="visible" r:id="rId1"/>
    <sheet name="Form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6" customWidth="1" min="1" max="1"/>
    <col width="16.86" customWidth="1" min="2" max="2"/>
    <col width="16.86" customWidth="1" min="3" max="3"/>
    <col width="16.86" customWidth="1" min="4" max="4"/>
    <col width="16.86" customWidth="1" min="5" max="5"/>
    <col width="16.86" customWidth="1" min="6" max="6"/>
    <col width="16.86" customWidth="1" min="7" max="7"/>
    <col width="16.86" customWidth="1" min="8" max="8"/>
    <col width="16.86" customWidth="1" min="9" max="9"/>
    <col width="101.16" customWidth="1" min="10" max="10"/>
    <col width="16.86" customWidth="1" min="11" max="11"/>
    <col width="16.86" customWidth="1" min="12" max="12"/>
  </cols>
  <sheetData>
    <row r="1">
      <c r="A1" s="1" t="inlineStr">
        <is>
          <t>Quantity</t>
        </is>
      </c>
      <c r="B1" s="1" t="inlineStr">
        <is>
          <t>Card Title</t>
        </is>
      </c>
      <c r="C1" s="1" t="inlineStr">
        <is>
          <t>Have Physical Copy</t>
        </is>
      </c>
      <c r="D1" s="1" t="inlineStr">
        <is>
          <t>Cut</t>
        </is>
      </c>
      <c r="E1" s="1" t="inlineStr">
        <is>
          <t>Cut Reason</t>
        </is>
      </c>
      <c r="F1" s="1" t="inlineStr">
        <is>
          <t>Deck Rule</t>
        </is>
      </c>
      <c r="G1" s="1" t="inlineStr">
        <is>
          <t>Rarity</t>
        </is>
      </c>
      <c r="H1" s="1" t="inlineStr">
        <is>
          <t>MTG Edition</t>
        </is>
      </c>
      <c r="I1" s="1" t="inlineStr">
        <is>
          <t>Mana Value</t>
        </is>
      </c>
      <c r="J1" s="1" t="inlineStr">
        <is>
          <t>Image</t>
        </is>
      </c>
      <c r="K1" s="1" t="inlineStr">
        <is>
          <t>Price</t>
        </is>
      </c>
      <c r="L1" s="1" t="inlineStr">
        <is>
          <t>Rule Text</t>
        </is>
      </c>
    </row>
    <row r="2" ht="270" customHeight="1">
      <c r="A2" t="inlineStr">
        <is>
          <t>1</t>
        </is>
      </c>
      <c r="B2" t="inlineStr">
        <is>
          <t>Adventurer's Inn</t>
        </is>
      </c>
      <c r="C2" t="b">
        <v>1</v>
      </c>
      <c r="D2" t="b">
        <v>0</v>
      </c>
      <c r="E2" t="inlineStr"/>
      <c r="F2" t="inlineStr">
        <is>
          <t>Lands</t>
        </is>
      </c>
      <c r="G2" t="inlineStr">
        <is>
          <t>Common</t>
        </is>
      </c>
      <c r="H2" t="inlineStr">
        <is>
          <t>FIN</t>
        </is>
      </c>
      <c r="I2" t="inlineStr">
        <is>
          <t>0</t>
        </is>
      </c>
      <c r="J2">
        <f>IMAGE("https://api.scryfall.com/cards/named?exact=Adventurer%27s%20Inn&amp;format=image&amp;version=normal")</f>
        <v/>
      </c>
      <c r="K2" t="inlineStr">
        <is>
          <t>$0.31</t>
        </is>
      </c>
      <c r="L2" t="inlineStr">
        <is>
          <t>When this land enters, you gain 2 life. {T}: Add {C}.</t>
        </is>
      </c>
    </row>
    <row r="3" ht="270" customHeight="1">
      <c r="A3" t="inlineStr">
        <is>
          <t>1</t>
        </is>
      </c>
      <c r="B3" t="inlineStr">
        <is>
          <t>Ajani's Response</t>
        </is>
      </c>
      <c r="C3" t="b">
        <v>1</v>
      </c>
      <c r="D3" t="b">
        <v>0</v>
      </c>
      <c r="E3" t="inlineStr"/>
      <c r="F3" t="inlineStr">
        <is>
          <t>Interaction</t>
        </is>
      </c>
      <c r="G3" t="inlineStr">
        <is>
          <t>Common</t>
        </is>
      </c>
      <c r="H3" t="inlineStr">
        <is>
          <t>SOS</t>
        </is>
      </c>
      <c r="I3" t="inlineStr">
        <is>
          <t>5</t>
        </is>
      </c>
      <c r="J3">
        <f>IMAGE("https://api.scryfall.com/cards/named?exact=Ajani%27s%20Response&amp;format=image&amp;version=normal")</f>
        <v/>
      </c>
      <c r="K3" t="inlineStr">
        <is>
          <t>$0.10</t>
        </is>
      </c>
      <c r="L3" t="inlineStr">
        <is>
          <t>This spell costs {3} less to cast if it targets a tapped creature. Destroy target creature.</t>
        </is>
      </c>
    </row>
    <row r="4" ht="270" customHeight="1">
      <c r="A4" t="inlineStr">
        <is>
          <t>1</t>
        </is>
      </c>
      <c r="B4" t="inlineStr">
        <is>
          <t>Alpine Grizzly</t>
        </is>
      </c>
      <c r="C4" t="b">
        <v>1</v>
      </c>
      <c r="D4" t="b">
        <v>0</v>
      </c>
      <c r="E4" t="inlineStr"/>
      <c r="F4" t="inlineStr">
        <is>
          <t>On Theme</t>
        </is>
      </c>
      <c r="G4" t="inlineStr">
        <is>
          <t>Common</t>
        </is>
      </c>
      <c r="H4" t="inlineStr">
        <is>
          <t>PLST</t>
        </is>
      </c>
      <c r="I4" t="inlineStr">
        <is>
          <t>3</t>
        </is>
      </c>
      <c r="J4">
        <f>IMAGE("https://api.scryfall.com/cards/named?exact=Alpine%20Grizzly&amp;format=image&amp;version=normal")</f>
        <v/>
      </c>
      <c r="K4" t="inlineStr">
        <is>
          <t>$0.43</t>
        </is>
      </c>
      <c r="L4" t="inlineStr"/>
    </row>
    <row r="5" ht="270" customHeight="1">
      <c r="A5" t="inlineStr">
        <is>
          <t>1</t>
        </is>
      </c>
      <c r="B5" t="inlineStr">
        <is>
          <t>Ancient Brontodon</t>
        </is>
      </c>
      <c r="C5" t="b">
        <v>1</v>
      </c>
      <c r="D5" t="b">
        <v>0</v>
      </c>
      <c r="E5" t="inlineStr"/>
      <c r="F5" t="inlineStr">
        <is>
          <t>On Theme</t>
        </is>
      </c>
      <c r="G5" t="inlineStr">
        <is>
          <t>Common</t>
        </is>
      </c>
      <c r="H5" t="inlineStr">
        <is>
          <t>PLST</t>
        </is>
      </c>
      <c r="I5" t="inlineStr">
        <is>
          <t>8</t>
        </is>
      </c>
      <c r="J5">
        <f>IMAGE("https://api.scryfall.com/cards/named?exact=Ancient%20Brontodon&amp;format=image&amp;version=normal")</f>
        <v/>
      </c>
      <c r="K5" t="inlineStr">
        <is>
          <t>$0.17</t>
        </is>
      </c>
      <c r="L5" t="inlineStr"/>
    </row>
    <row r="6" ht="270" customHeight="1">
      <c r="A6" t="inlineStr">
        <is>
          <t>1</t>
        </is>
      </c>
      <c r="B6" t="inlineStr">
        <is>
          <t>Arcane Signet</t>
        </is>
      </c>
      <c r="C6" t="b">
        <v>1</v>
      </c>
      <c r="D6" t="b">
        <v>0</v>
      </c>
      <c r="E6" t="inlineStr"/>
      <c r="F6" t="inlineStr">
        <is>
          <t>Ramp</t>
        </is>
      </c>
      <c r="G6" t="inlineStr">
        <is>
          <t>Mythic</t>
        </is>
      </c>
      <c r="H6" t="inlineStr">
        <is>
          <t>HOC</t>
        </is>
      </c>
      <c r="I6" t="inlineStr">
        <is>
          <t>2</t>
        </is>
      </c>
      <c r="J6">
        <f>IMAGE("https://api.scryfall.com/cards/named?exact=Arcane%20Signet&amp;format=image&amp;version=normal")</f>
        <v/>
      </c>
      <c r="K6" t="inlineStr"/>
      <c r="L6" t="inlineStr">
        <is>
          <t>{T}: Add one mana of any color in your commander's color identity.</t>
        </is>
      </c>
    </row>
    <row r="7" ht="270" customHeight="1">
      <c r="A7" t="inlineStr">
        <is>
          <t>1</t>
        </is>
      </c>
      <c r="B7" t="inlineStr">
        <is>
          <t>Austere Command</t>
        </is>
      </c>
      <c r="C7" t="b">
        <v>1</v>
      </c>
      <c r="D7" t="b">
        <v>0</v>
      </c>
      <c r="E7" t="inlineStr"/>
      <c r="F7" t="inlineStr">
        <is>
          <t>Wrath</t>
        </is>
      </c>
      <c r="G7" t="inlineStr">
        <is>
          <t>Rare</t>
        </is>
      </c>
      <c r="H7" t="inlineStr">
        <is>
          <t>FIC</t>
        </is>
      </c>
      <c r="I7" t="inlineStr">
        <is>
          <t>6</t>
        </is>
      </c>
      <c r="J7">
        <f>IMAGE("https://api.scryfall.com/cards/named?exact=Austere%20Command&amp;format=image&amp;version=normal")</f>
        <v/>
      </c>
      <c r="K7" t="inlineStr">
        <is>
          <t>$0.47</t>
        </is>
      </c>
      <c r="L7" t="inlineStr">
        <is>
          <t>Choose two — • Destroy all artifacts. • Destroy all enchantments. • Destroy all creatures with mana value 3 or less. • Destroy all creatures with mana value 4 or greater.</t>
        </is>
      </c>
    </row>
    <row r="8" ht="270" customHeight="1">
      <c r="A8" t="inlineStr">
        <is>
          <t>1</t>
        </is>
      </c>
      <c r="B8" t="inlineStr">
        <is>
          <t>Axebane Stag</t>
        </is>
      </c>
      <c r="C8" t="b">
        <v>1</v>
      </c>
      <c r="D8" t="b">
        <v>0</v>
      </c>
      <c r="E8" t="inlineStr"/>
      <c r="F8" t="inlineStr">
        <is>
          <t>On Theme</t>
        </is>
      </c>
      <c r="G8" t="inlineStr">
        <is>
          <t>Common</t>
        </is>
      </c>
      <c r="H8" t="inlineStr">
        <is>
          <t>RTR</t>
        </is>
      </c>
      <c r="I8" t="inlineStr">
        <is>
          <t>7</t>
        </is>
      </c>
      <c r="J8">
        <f>IMAGE("https://api.scryfall.com/cards/named?exact=Axebane%20Stag&amp;format=image&amp;version=normal")</f>
        <v/>
      </c>
      <c r="K8" t="inlineStr">
        <is>
          <t>$0.05</t>
        </is>
      </c>
      <c r="L8" t="inlineStr"/>
    </row>
    <row r="9" ht="270" customHeight="1">
      <c r="A9" t="inlineStr">
        <is>
          <t>1</t>
        </is>
      </c>
      <c r="B9" t="inlineStr">
        <is>
          <t>Ballynock Trapper</t>
        </is>
      </c>
      <c r="C9" t="b">
        <v>1</v>
      </c>
      <c r="D9" t="b">
        <v>1</v>
      </c>
      <c r="E9" t="inlineStr">
        <is>
          <t>Creature with activated ability; replace with vanilla body.</t>
        </is>
      </c>
      <c r="F9" t="inlineStr">
        <is>
          <t>On Theme</t>
        </is>
      </c>
      <c r="G9" t="inlineStr">
        <is>
          <t>Common</t>
        </is>
      </c>
      <c r="H9" t="inlineStr">
        <is>
          <t>EVE</t>
        </is>
      </c>
      <c r="I9" t="inlineStr">
        <is>
          <t>4</t>
        </is>
      </c>
      <c r="J9">
        <f>IMAGE("https://api.scryfall.com/cards/named?exact=Ballynock%20Trapper&amp;format=image&amp;version=normal")</f>
        <v/>
      </c>
      <c r="K9" t="inlineStr">
        <is>
          <t>$0.18</t>
        </is>
      </c>
      <c r="L9" t="inlineStr">
        <is>
          <t>{T}: Tap target creature. Whenever you cast a white spell, you may untap this creature.</t>
        </is>
      </c>
    </row>
    <row r="10" ht="270" customHeight="1">
      <c r="A10" t="inlineStr">
        <is>
          <t>1</t>
        </is>
      </c>
      <c r="B10" t="inlineStr">
        <is>
          <t>Beast Within</t>
        </is>
      </c>
      <c r="C10" t="b">
        <v>0</v>
      </c>
      <c r="D10" t="b">
        <v>0</v>
      </c>
      <c r="E10" t="inlineStr"/>
      <c r="F10" t="inlineStr">
        <is>
          <t>Interaction</t>
        </is>
      </c>
      <c r="G10" t="inlineStr">
        <is>
          <t>Rare</t>
        </is>
      </c>
      <c r="H10" t="inlineStr">
        <is>
          <t>SLD</t>
        </is>
      </c>
      <c r="I10" t="inlineStr">
        <is>
          <t>3</t>
        </is>
      </c>
      <c r="J10">
        <f>IMAGE("https://api.scryfall.com/cards/named?exact=Beast%20Within&amp;format=image&amp;version=normal")</f>
        <v/>
      </c>
      <c r="K10" t="inlineStr"/>
      <c r="L10" t="inlineStr">
        <is>
          <t>Destroy target permanent. Its controller creates a 3/3 green Beast creature token.</t>
        </is>
      </c>
    </row>
    <row r="11" ht="270" customHeight="1">
      <c r="A11" t="inlineStr">
        <is>
          <t>1</t>
        </is>
      </c>
      <c r="B11" t="inlineStr">
        <is>
          <t>Besotted Knight // Betroth the Beast</t>
        </is>
      </c>
      <c r="C11" t="b">
        <v>1</v>
      </c>
      <c r="D11" t="b">
        <v>1</v>
      </c>
      <c r="E11" t="inlineStr">
        <is>
          <t>Off-theme abilities/adventure; prioritize pure vanillas for Jasmine evasion.</t>
        </is>
      </c>
      <c r="F11" t="inlineStr">
        <is>
          <t>On Theme</t>
        </is>
      </c>
      <c r="G11" t="inlineStr">
        <is>
          <t>Common</t>
        </is>
      </c>
      <c r="H11" t="inlineStr">
        <is>
          <t>WOE</t>
        </is>
      </c>
      <c r="I11" t="inlineStr">
        <is>
          <t>4</t>
        </is>
      </c>
      <c r="J11">
        <f>IMAGE("https://api.scryfall.com/cards/named?exact=Besotted%20Knight%20//%20Betroth%20the%20Beast&amp;format=image&amp;version=normal")</f>
        <v/>
      </c>
      <c r="K11" t="inlineStr">
        <is>
          <t>$0.20</t>
        </is>
      </c>
      <c r="L11" t="inlineStr"/>
    </row>
    <row r="12" ht="270" customHeight="1">
      <c r="A12" t="inlineStr">
        <is>
          <t>1</t>
        </is>
      </c>
      <c r="B12" t="inlineStr">
        <is>
          <t>Blossoming Sands</t>
        </is>
      </c>
      <c r="C12" t="b">
        <v>1</v>
      </c>
      <c r="D12" t="b">
        <v>0</v>
      </c>
      <c r="E12" t="inlineStr"/>
      <c r="F12" t="inlineStr">
        <is>
          <t>Lands</t>
        </is>
      </c>
      <c r="G12" t="inlineStr">
        <is>
          <t>Common</t>
        </is>
      </c>
      <c r="H12" t="inlineStr">
        <is>
          <t>TDM</t>
        </is>
      </c>
      <c r="I12" t="inlineStr">
        <is>
          <t>0</t>
        </is>
      </c>
      <c r="J12">
        <f>IMAGE("https://api.scryfall.com/cards/named?exact=Blossoming%20Sands&amp;format=image&amp;version=normal")</f>
        <v/>
      </c>
      <c r="K12" t="inlineStr">
        <is>
          <t>$0.20</t>
        </is>
      </c>
      <c r="L12" t="inlineStr">
        <is>
          <t>This land enters tapped. When this land enters, you gain 1 life. {T}: Add {G} or {W}.</t>
        </is>
      </c>
    </row>
    <row r="13" ht="270" customHeight="1">
      <c r="A13" t="inlineStr">
        <is>
          <t>1</t>
        </is>
      </c>
      <c r="B13" t="inlineStr">
        <is>
          <t>Centaur Courser</t>
        </is>
      </c>
      <c r="C13" t="b">
        <v>1</v>
      </c>
      <c r="D13" t="b">
        <v>0</v>
      </c>
      <c r="E13" t="inlineStr"/>
      <c r="F13" t="inlineStr">
        <is>
          <t>On Theme</t>
        </is>
      </c>
      <c r="G13" t="inlineStr">
        <is>
          <t>Common</t>
        </is>
      </c>
      <c r="H13" t="inlineStr">
        <is>
          <t>PLST</t>
        </is>
      </c>
      <c r="I13" t="inlineStr">
        <is>
          <t>3</t>
        </is>
      </c>
      <c r="J13">
        <f>IMAGE("https://api.scryfall.com/cards/named?exact=Centaur%20Courser&amp;format=image&amp;version=normal")</f>
        <v/>
      </c>
      <c r="K13" t="inlineStr">
        <is>
          <t>$0.13</t>
        </is>
      </c>
      <c r="L13" t="inlineStr"/>
    </row>
    <row r="14" ht="270" customHeight="1">
      <c r="A14" t="inlineStr">
        <is>
          <t>1</t>
        </is>
      </c>
      <c r="B14" t="inlineStr">
        <is>
          <t>Cheeky House-Mouse // Squeak By</t>
        </is>
      </c>
      <c r="C14" t="b">
        <v>1</v>
      </c>
      <c r="D14" t="b">
        <v>1</v>
      </c>
      <c r="E14" t="inlineStr">
        <is>
          <t>Adventure card; not a clean vanilla.</t>
        </is>
      </c>
      <c r="F14" t="inlineStr">
        <is>
          <t>On Theme</t>
        </is>
      </c>
      <c r="G14" t="inlineStr">
        <is>
          <t>Uncommon</t>
        </is>
      </c>
      <c r="H14" t="inlineStr">
        <is>
          <t>WOE</t>
        </is>
      </c>
      <c r="I14" t="inlineStr">
        <is>
          <t>1</t>
        </is>
      </c>
      <c r="J14">
        <f>IMAGE("https://api.scryfall.com/cards/named?exact=Cheeky%20House-Mouse%20//%20Squeak%20By&amp;format=image&amp;version=normal")</f>
        <v/>
      </c>
      <c r="K14" t="inlineStr">
        <is>
          <t>$0.31</t>
        </is>
      </c>
      <c r="L14" t="inlineStr"/>
    </row>
    <row r="15" ht="270" customHeight="1">
      <c r="A15" t="inlineStr">
        <is>
          <t>1</t>
        </is>
      </c>
      <c r="B15" t="inlineStr">
        <is>
          <t>Cliffhaven Sell-Sword</t>
        </is>
      </c>
      <c r="C15" t="b">
        <v>1</v>
      </c>
      <c r="D15" t="b">
        <v>1</v>
      </c>
      <c r="E15" t="inlineStr">
        <is>
          <t>Kicker/ability creature; replace with true vanilla.</t>
        </is>
      </c>
      <c r="F15" t="inlineStr">
        <is>
          <t>On Theme</t>
        </is>
      </c>
      <c r="G15" t="inlineStr">
        <is>
          <t>Common</t>
        </is>
      </c>
      <c r="H15" t="inlineStr">
        <is>
          <t>ZNR</t>
        </is>
      </c>
      <c r="I15" t="inlineStr">
        <is>
          <t>2</t>
        </is>
      </c>
      <c r="J15">
        <f>IMAGE("https://api.scryfall.com/cards/named?exact=Cliffhaven%20Sell-Sword&amp;format=image&amp;version=normal")</f>
        <v/>
      </c>
      <c r="K15" t="inlineStr">
        <is>
          <t>$0.17</t>
        </is>
      </c>
      <c r="L15" t="inlineStr"/>
    </row>
    <row r="16" ht="270" customHeight="1">
      <c r="A16" t="inlineStr">
        <is>
          <t>1</t>
        </is>
      </c>
      <c r="B16" t="inlineStr">
        <is>
          <t>Colossal Majesty</t>
        </is>
      </c>
      <c r="C16" t="b">
        <v>1</v>
      </c>
      <c r="D16" t="b">
        <v>0</v>
      </c>
      <c r="E16" t="inlineStr"/>
      <c r="F16" t="inlineStr">
        <is>
          <t>Card Advantage</t>
        </is>
      </c>
      <c r="G16" t="inlineStr">
        <is>
          <t>Uncommon</t>
        </is>
      </c>
      <c r="H16" t="inlineStr">
        <is>
          <t>CLU</t>
        </is>
      </c>
      <c r="I16" t="inlineStr">
        <is>
          <t>3</t>
        </is>
      </c>
      <c r="J16">
        <f>IMAGE("https://api.scryfall.com/cards/named?exact=Colossal%20Majesty&amp;format=image&amp;version=normal")</f>
        <v/>
      </c>
      <c r="K16" t="inlineStr">
        <is>
          <t>$1.61</t>
        </is>
      </c>
      <c r="L16" t="inlineStr">
        <is>
          <t>At the beginning of your upkeep, if you control a creature with power 4 or greater, draw a card.</t>
        </is>
      </c>
    </row>
    <row r="17" ht="270" customHeight="1">
      <c r="A17" t="inlineStr">
        <is>
          <t>1</t>
        </is>
      </c>
      <c r="B17" t="inlineStr">
        <is>
          <t>Colossodon Yearling</t>
        </is>
      </c>
      <c r="C17" t="b">
        <v>1</v>
      </c>
      <c r="D17" t="b">
        <v>0</v>
      </c>
      <c r="E17" t="inlineStr"/>
      <c r="F17" t="inlineStr">
        <is>
          <t>On Theme</t>
        </is>
      </c>
      <c r="G17" t="inlineStr">
        <is>
          <t>Common</t>
        </is>
      </c>
      <c r="H17" t="inlineStr">
        <is>
          <t>DTK</t>
        </is>
      </c>
      <c r="I17" t="inlineStr">
        <is>
          <t>3</t>
        </is>
      </c>
      <c r="J17">
        <f>IMAGE("https://api.scryfall.com/cards/named?exact=Colossodon%20Yearling&amp;format=image&amp;version=normal")</f>
        <v/>
      </c>
      <c r="K17" t="inlineStr">
        <is>
          <t>$0.08</t>
        </is>
      </c>
      <c r="L17" t="inlineStr"/>
    </row>
    <row r="18" ht="270" customHeight="1">
      <c r="A18" t="inlineStr">
        <is>
          <t>1</t>
        </is>
      </c>
      <c r="B18" t="inlineStr">
        <is>
          <t>Command Tower</t>
        </is>
      </c>
      <c r="C18" t="b">
        <v>0</v>
      </c>
      <c r="D18" t="b">
        <v>0</v>
      </c>
      <c r="E18" t="inlineStr"/>
      <c r="F18" t="inlineStr">
        <is>
          <t>Lands</t>
        </is>
      </c>
      <c r="G18" t="inlineStr">
        <is>
          <t>Common</t>
        </is>
      </c>
      <c r="H18" t="inlineStr">
        <is>
          <t>SOC</t>
        </is>
      </c>
      <c r="I18" t="inlineStr">
        <is>
          <t>0</t>
        </is>
      </c>
      <c r="J18">
        <f>IMAGE("https://api.scryfall.com/cards/named?exact=Command%20Tower&amp;format=image&amp;version=normal")</f>
        <v/>
      </c>
      <c r="K18" t="inlineStr">
        <is>
          <t>$0.25</t>
        </is>
      </c>
      <c r="L18" t="inlineStr">
        <is>
          <t>{T}: Add one mana of any color in your commander's color identity.</t>
        </is>
      </c>
    </row>
    <row r="19" ht="270" customHeight="1">
      <c r="A19" t="inlineStr">
        <is>
          <t>1</t>
        </is>
      </c>
      <c r="B19" t="inlineStr">
        <is>
          <t>Crossroads Village</t>
        </is>
      </c>
      <c r="C19" t="b">
        <v>1</v>
      </c>
      <c r="D19" t="b">
        <v>0</v>
      </c>
      <c r="E19" t="inlineStr"/>
      <c r="F19" t="inlineStr">
        <is>
          <t>Lands</t>
        </is>
      </c>
      <c r="G19" t="inlineStr">
        <is>
          <t>Common</t>
        </is>
      </c>
      <c r="H19" t="inlineStr">
        <is>
          <t>FIN</t>
        </is>
      </c>
      <c r="I19" t="inlineStr">
        <is>
          <t>0</t>
        </is>
      </c>
      <c r="J19">
        <f>IMAGE("https://api.scryfall.com/cards/named?exact=Crossroads%20Village&amp;format=image&amp;version=normal")</f>
        <v/>
      </c>
      <c r="K19" t="inlineStr">
        <is>
          <t>$0.20</t>
        </is>
      </c>
      <c r="L19" t="inlineStr">
        <is>
          <t>This land enters tapped. As it enters, choose a color. {T}: Add one mana of the chosen color.</t>
        </is>
      </c>
    </row>
    <row r="20" ht="270" customHeight="1">
      <c r="A20" t="inlineStr">
        <is>
          <t>1</t>
        </is>
      </c>
      <c r="B20" t="inlineStr">
        <is>
          <t>Cultivate</t>
        </is>
      </c>
      <c r="C20" t="b">
        <v>0</v>
      </c>
      <c r="D20" t="b">
        <v>0</v>
      </c>
      <c r="E20" t="inlineStr"/>
      <c r="F20" t="inlineStr">
        <is>
          <t>Ramp</t>
        </is>
      </c>
      <c r="G20" t="inlineStr">
        <is>
          <t>Common</t>
        </is>
      </c>
      <c r="H20" t="inlineStr">
        <is>
          <t>SOC</t>
        </is>
      </c>
      <c r="I20" t="inlineStr">
        <is>
          <t>3</t>
        </is>
      </c>
      <c r="J20">
        <f>IMAGE("https://api.scryfall.com/cards/named?exact=Cultivate&amp;format=image&amp;version=normal")</f>
        <v/>
      </c>
      <c r="K20" t="inlineStr">
        <is>
          <t>$0.30</t>
        </is>
      </c>
      <c r="L20" t="inlineStr">
        <is>
          <t>Search your library for up to two basic land cards, reveal those cards, put one onto the battlefield tapped and the other into your hand, then shuffle.</t>
        </is>
      </c>
    </row>
    <row r="21" ht="270" customHeight="1">
      <c r="A21" t="inlineStr">
        <is>
          <t>1</t>
        </is>
      </c>
      <c r="B21" t="inlineStr">
        <is>
          <t>Cut a Deal</t>
        </is>
      </c>
      <c r="C21" t="b">
        <v>1</v>
      </c>
      <c r="D21" t="b">
        <v>0</v>
      </c>
      <c r="E21" t="inlineStr"/>
      <c r="F21" t="inlineStr">
        <is>
          <t>Card Advantage</t>
        </is>
      </c>
      <c r="G21" t="inlineStr">
        <is>
          <t>Uncommon</t>
        </is>
      </c>
      <c r="H21" t="inlineStr">
        <is>
          <t>FIC</t>
        </is>
      </c>
      <c r="I21" t="inlineStr">
        <is>
          <t>3</t>
        </is>
      </c>
      <c r="J21">
        <f>IMAGE("https://api.scryfall.com/cards/named?exact=Cut%20a%20Deal&amp;format=image&amp;version=normal")</f>
        <v/>
      </c>
      <c r="K21" t="inlineStr">
        <is>
          <t>$0.26</t>
        </is>
      </c>
      <c r="L21" t="inlineStr">
        <is>
          <t>Each opponent draws a card, then you draw a card for each opponent who drew a card this way.</t>
        </is>
      </c>
    </row>
    <row r="22" ht="270" customHeight="1">
      <c r="A22" t="inlineStr">
        <is>
          <t>1</t>
        </is>
      </c>
      <c r="B22" t="inlineStr">
        <is>
          <t>Darksteel Ingot</t>
        </is>
      </c>
      <c r="C22" t="b">
        <v>1</v>
      </c>
      <c r="D22" t="b">
        <v>0</v>
      </c>
      <c r="E22" t="inlineStr"/>
      <c r="F22" t="inlineStr">
        <is>
          <t>Ramp</t>
        </is>
      </c>
      <c r="G22" t="inlineStr">
        <is>
          <t>Common</t>
        </is>
      </c>
      <c r="H22" t="inlineStr">
        <is>
          <t>PLST</t>
        </is>
      </c>
      <c r="I22" t="inlineStr">
        <is>
          <t>3</t>
        </is>
      </c>
      <c r="J22">
        <f>IMAGE("https://api.scryfall.com/cards/named?exact=Darksteel%20Ingot&amp;format=image&amp;version=normal")</f>
        <v/>
      </c>
      <c r="K22" t="inlineStr">
        <is>
          <t>$0.21</t>
        </is>
      </c>
      <c r="L22" t="inlineStr">
        <is>
          <t>Indestructible (Effects that say "destroy" don't destroy this artifact.) {T}: Add one mana of any color.</t>
        </is>
      </c>
    </row>
    <row r="23" ht="270" customHeight="1">
      <c r="A23" t="inlineStr">
        <is>
          <t>1</t>
        </is>
      </c>
      <c r="B23" t="inlineStr">
        <is>
          <t>Desecration Plague</t>
        </is>
      </c>
      <c r="C23" t="b">
        <v>1</v>
      </c>
      <c r="D23" t="b">
        <v>0</v>
      </c>
      <c r="E23" t="inlineStr"/>
      <c r="F23" t="inlineStr">
        <is>
          <t>On Theme</t>
        </is>
      </c>
      <c r="G23" t="inlineStr">
        <is>
          <t>Common</t>
        </is>
      </c>
      <c r="H23" t="inlineStr">
        <is>
          <t>JOU</t>
        </is>
      </c>
      <c r="I23" t="inlineStr">
        <is>
          <t>4</t>
        </is>
      </c>
      <c r="J23">
        <f>IMAGE("https://api.scryfall.com/cards/named?exact=Desecration%20Plague&amp;format=image&amp;version=normal")</f>
        <v/>
      </c>
      <c r="K23" t="inlineStr">
        <is>
          <t>$0.04</t>
        </is>
      </c>
      <c r="L23" t="inlineStr">
        <is>
          <t>Destroy target enchantment or land.</t>
        </is>
      </c>
    </row>
    <row r="24" ht="270" customHeight="1">
      <c r="A24" t="inlineStr">
        <is>
          <t>1</t>
        </is>
      </c>
      <c r="B24" t="inlineStr">
        <is>
          <t>Devilthorn Fox</t>
        </is>
      </c>
      <c r="C24" t="b">
        <v>1</v>
      </c>
      <c r="D24" t="b">
        <v>0</v>
      </c>
      <c r="E24" t="inlineStr"/>
      <c r="F24" t="inlineStr">
        <is>
          <t>On Theme</t>
        </is>
      </c>
      <c r="G24" t="inlineStr">
        <is>
          <t>Common</t>
        </is>
      </c>
      <c r="H24" t="inlineStr">
        <is>
          <t>PLST</t>
        </is>
      </c>
      <c r="I24" t="inlineStr">
        <is>
          <t>2</t>
        </is>
      </c>
      <c r="J24">
        <f>IMAGE("https://api.scryfall.com/cards/named?exact=Devilthorn%20Fox&amp;format=image&amp;version=normal")</f>
        <v/>
      </c>
      <c r="K24" t="inlineStr">
        <is>
          <t>$0.19</t>
        </is>
      </c>
      <c r="L24" t="inlineStr"/>
    </row>
    <row r="25" ht="270" customHeight="1">
      <c r="A25" t="inlineStr">
        <is>
          <t>1</t>
        </is>
      </c>
      <c r="B25" t="inlineStr">
        <is>
          <t>Druid of the Cowl</t>
        </is>
      </c>
      <c r="C25" t="b">
        <v>1</v>
      </c>
      <c r="D25" t="b">
        <v>0</v>
      </c>
      <c r="E25" t="inlineStr"/>
      <c r="F25" t="inlineStr">
        <is>
          <t>Ramp</t>
        </is>
      </c>
      <c r="G25" t="inlineStr">
        <is>
          <t>Common</t>
        </is>
      </c>
      <c r="H25" t="inlineStr">
        <is>
          <t>FDN</t>
        </is>
      </c>
      <c r="I25" t="inlineStr">
        <is>
          <t>2</t>
        </is>
      </c>
      <c r="J25">
        <f>IMAGE("https://api.scryfall.com/cards/named?exact=Druid%20of%20the%20Cowl&amp;format=image&amp;version=normal")</f>
        <v/>
      </c>
      <c r="K25" t="inlineStr">
        <is>
          <t>$0.30</t>
        </is>
      </c>
      <c r="L25" t="inlineStr">
        <is>
          <t>{T}: Add {G}.</t>
        </is>
      </c>
    </row>
    <row r="26" ht="270" customHeight="1">
      <c r="A26" t="inlineStr">
        <is>
          <t>1</t>
        </is>
      </c>
      <c r="B26" t="inlineStr">
        <is>
          <t>Dryad Greenseeker</t>
        </is>
      </c>
      <c r="C26" t="b">
        <v>1</v>
      </c>
      <c r="D26" t="b">
        <v>0</v>
      </c>
      <c r="E26" t="inlineStr"/>
      <c r="F26" t="inlineStr">
        <is>
          <t>On Theme</t>
        </is>
      </c>
      <c r="G26" t="inlineStr">
        <is>
          <t>Uncommon</t>
        </is>
      </c>
      <c r="H26" t="inlineStr">
        <is>
          <t>M19</t>
        </is>
      </c>
      <c r="I26" t="inlineStr">
        <is>
          <t>2</t>
        </is>
      </c>
      <c r="J26">
        <f>IMAGE("https://api.scryfall.com/cards/named?exact=Dryad%20Greenseeker&amp;format=image&amp;version=normal")</f>
        <v/>
      </c>
      <c r="K26" t="inlineStr">
        <is>
          <t>$0.23</t>
        </is>
      </c>
      <c r="L26" t="inlineStr">
        <is>
          <t>{T}: Look at the top card of your library. If it's a land card, you may reveal it and put it into your hand.</t>
        </is>
      </c>
    </row>
    <row r="27" ht="270" customHeight="1">
      <c r="A27" t="inlineStr">
        <is>
          <t>1</t>
        </is>
      </c>
      <c r="B27" t="inlineStr">
        <is>
          <t>Elemental Bond</t>
        </is>
      </c>
      <c r="C27" t="b">
        <v>0</v>
      </c>
      <c r="D27" t="b">
        <v>0</v>
      </c>
      <c r="E27" t="inlineStr"/>
      <c r="F27" t="inlineStr">
        <is>
          <t>Card Advantage</t>
        </is>
      </c>
      <c r="G27" t="inlineStr">
        <is>
          <t>Mythic</t>
        </is>
      </c>
      <c r="H27" t="inlineStr">
        <is>
          <t>TLE</t>
        </is>
      </c>
      <c r="I27" t="inlineStr">
        <is>
          <t>3</t>
        </is>
      </c>
      <c r="J27">
        <f>IMAGE("https://api.scryfall.com/cards/named?exact=Elemental%20Bond&amp;format=image&amp;version=normal")</f>
        <v/>
      </c>
      <c r="K27" t="inlineStr">
        <is>
          <t>$3.83</t>
        </is>
      </c>
      <c r="L27" t="inlineStr">
        <is>
          <t>Whenever a creature you control with power 3 or greater enters, draw a card.</t>
        </is>
      </c>
    </row>
    <row r="28" ht="270" customHeight="1">
      <c r="A28" t="inlineStr">
        <is>
          <t>1</t>
        </is>
      </c>
      <c r="B28" t="inlineStr">
        <is>
          <t>Elite Vanguard</t>
        </is>
      </c>
      <c r="C28" t="b">
        <v>0</v>
      </c>
      <c r="D28" t="b">
        <v>0</v>
      </c>
      <c r="E28" t="inlineStr"/>
      <c r="F28" t="inlineStr">
        <is>
          <t>On Theme</t>
        </is>
      </c>
      <c r="G28" t="inlineStr">
        <is>
          <t>Common</t>
        </is>
      </c>
      <c r="H28" t="inlineStr">
        <is>
          <t>EMA</t>
        </is>
      </c>
      <c r="I28" t="inlineStr">
        <is>
          <t>1</t>
        </is>
      </c>
      <c r="J28">
        <f>IMAGE("https://api.scryfall.com/cards/named?exact=Elite%20Vanguard&amp;format=image&amp;version=normal")</f>
        <v/>
      </c>
      <c r="K28" t="inlineStr">
        <is>
          <t>$0.09</t>
        </is>
      </c>
      <c r="L28" t="inlineStr"/>
    </row>
    <row r="29" ht="270" customHeight="1">
      <c r="A29" t="inlineStr">
        <is>
          <t>1</t>
        </is>
      </c>
      <c r="B29" t="inlineStr">
        <is>
          <t>Elven Farsight</t>
        </is>
      </c>
      <c r="C29" t="b">
        <v>1</v>
      </c>
      <c r="D29" t="b">
        <v>0</v>
      </c>
      <c r="E29" t="inlineStr"/>
      <c r="F29" t="inlineStr">
        <is>
          <t>On Theme</t>
        </is>
      </c>
      <c r="G29" t="inlineStr">
        <is>
          <t>Common</t>
        </is>
      </c>
      <c r="H29" t="inlineStr">
        <is>
          <t>LTR</t>
        </is>
      </c>
      <c r="I29" t="inlineStr">
        <is>
          <t>1</t>
        </is>
      </c>
      <c r="J29">
        <f>IMAGE("https://api.scryfall.com/cards/named?exact=Elven%20Farsight&amp;format=image&amp;version=normal")</f>
        <v/>
      </c>
      <c r="K29" t="inlineStr">
        <is>
          <t>$0.46</t>
        </is>
      </c>
      <c r="L29" t="inlineStr">
        <is>
          <t>Scry 3, then you may reveal the top card of your library. If it's a creature card, draw a card.</t>
        </is>
      </c>
    </row>
    <row r="30" ht="270" customHeight="1">
      <c r="A30" t="inlineStr">
        <is>
          <t>1</t>
        </is>
      </c>
      <c r="B30" t="inlineStr">
        <is>
          <t>Ezuri's Predation</t>
        </is>
      </c>
      <c r="C30" t="b">
        <v>1</v>
      </c>
      <c r="D30" t="b">
        <v>0</v>
      </c>
      <c r="E30" t="inlineStr"/>
      <c r="F30" t="inlineStr">
        <is>
          <t>Wrath</t>
        </is>
      </c>
      <c r="G30" t="inlineStr">
        <is>
          <t>Rare</t>
        </is>
      </c>
      <c r="H30" t="inlineStr">
        <is>
          <t>DSC</t>
        </is>
      </c>
      <c r="I30" t="inlineStr">
        <is>
          <t>8</t>
        </is>
      </c>
      <c r="J30">
        <f>IMAGE("https://api.scryfall.com/cards/named?exact=Ezuri%27s%20Predation&amp;format=image&amp;version=normal")</f>
        <v/>
      </c>
      <c r="K30" t="inlineStr">
        <is>
          <t>$1.59</t>
        </is>
      </c>
      <c r="L30" t="inlineStr">
        <is>
          <t>For each creature your opponents control, create a 4/4 green Phyrexian Beast creature token. Each of those tokens fights a different one of those creatures.</t>
        </is>
      </c>
    </row>
    <row r="31" ht="270" customHeight="1">
      <c r="A31" t="inlineStr">
        <is>
          <t>1</t>
        </is>
      </c>
      <c r="B31" t="inlineStr">
        <is>
          <t>Fang-Druid Summoner</t>
        </is>
      </c>
      <c r="C31" t="b">
        <v>1</v>
      </c>
      <c r="D31" t="b">
        <v>1</v>
      </c>
      <c r="E31" t="inlineStr">
        <is>
          <t>Triggered ability creature; off-plan.</t>
        </is>
      </c>
      <c r="F31" t="inlineStr">
        <is>
          <t>On Theme</t>
        </is>
      </c>
      <c r="G31" t="inlineStr">
        <is>
          <t>Uncommon</t>
        </is>
      </c>
      <c r="H31" t="inlineStr">
        <is>
          <t>DFT</t>
        </is>
      </c>
      <c r="I31" t="inlineStr">
        <is>
          <t>4</t>
        </is>
      </c>
      <c r="J31">
        <f>IMAGE("https://api.scryfall.com/cards/named?exact=Fang-Druid%20Summoner&amp;format=image&amp;version=normal")</f>
        <v/>
      </c>
      <c r="K31" t="inlineStr">
        <is>
          <t>$0.11</t>
        </is>
      </c>
      <c r="L31" t="inlineStr">
        <is>
          <t>Reach When this creature enters, you may search your library and/or graveyard for a creature card with no abilities, reveal it, and put it into your hand. If you search your library this way, shuffle.</t>
        </is>
      </c>
    </row>
    <row r="32" ht="270" customHeight="1">
      <c r="A32" t="inlineStr">
        <is>
          <t>1</t>
        </is>
      </c>
      <c r="B32" t="inlineStr">
        <is>
          <t>Farseek</t>
        </is>
      </c>
      <c r="C32" t="b">
        <v>0</v>
      </c>
      <c r="D32" t="b">
        <v>0</v>
      </c>
      <c r="E32" t="inlineStr"/>
      <c r="F32" t="inlineStr">
        <is>
          <t>Ramp</t>
        </is>
      </c>
      <c r="G32" t="inlineStr">
        <is>
          <t>Rare</t>
        </is>
      </c>
      <c r="H32" t="inlineStr">
        <is>
          <t>SLD</t>
        </is>
      </c>
      <c r="I32" t="inlineStr">
        <is>
          <t>2</t>
        </is>
      </c>
      <c r="J32">
        <f>IMAGE("https://api.scryfall.com/cards/named?exact=Farseek&amp;format=image&amp;version=normal")</f>
        <v/>
      </c>
      <c r="K32" t="inlineStr">
        <is>
          <t>$6.85</t>
        </is>
      </c>
      <c r="L32" t="inlineStr">
        <is>
          <t>Search your library for a Plains, Island, Swamp, or Mountain card, put it onto the battlefield tapped, then shuffle.</t>
        </is>
      </c>
    </row>
    <row r="33" ht="270" customHeight="1">
      <c r="A33" t="inlineStr">
        <is>
          <t>1</t>
        </is>
      </c>
      <c r="B33" t="inlineStr">
        <is>
          <t>Felidar Retreat</t>
        </is>
      </c>
      <c r="C33" t="b">
        <v>1</v>
      </c>
      <c r="D33" t="b">
        <v>1</v>
      </c>
      <c r="E33" t="inlineStr">
        <is>
          <t>Token/ability engine; replace with direct finisher and draw.</t>
        </is>
      </c>
      <c r="F33" t="inlineStr">
        <is>
          <t>On Theme</t>
        </is>
      </c>
      <c r="G33" t="inlineStr">
        <is>
          <t>Rare</t>
        </is>
      </c>
      <c r="H33" t="inlineStr">
        <is>
          <t>SLD</t>
        </is>
      </c>
      <c r="I33" t="inlineStr">
        <is>
          <t>4</t>
        </is>
      </c>
      <c r="J33">
        <f>IMAGE("https://api.scryfall.com/cards/named?exact=Felidar%20Retreat&amp;format=image&amp;version=normal")</f>
        <v/>
      </c>
      <c r="K33" t="inlineStr">
        <is>
          <t>$4.02</t>
        </is>
      </c>
      <c r="L33" t="inlineStr">
        <is>
          <t>Landfall — Whenever a land you control enters, choose one — • Create a 2/2 white Cat Beast creature token. • Put a +1/+1 counter on each creature you control. Those creatures gain vigilance until end of turn.</t>
        </is>
      </c>
    </row>
    <row r="34" ht="270" customHeight="1">
      <c r="A34" t="inlineStr">
        <is>
          <t>14</t>
        </is>
      </c>
      <c r="B34" t="inlineStr">
        <is>
          <t>Forest</t>
        </is>
      </c>
      <c r="C34" t="b">
        <v>1</v>
      </c>
      <c r="D34" t="b">
        <v>0</v>
      </c>
      <c r="E34" t="inlineStr"/>
      <c r="F34" t="inlineStr">
        <is>
          <t>Lands</t>
        </is>
      </c>
      <c r="G34" t="inlineStr">
        <is>
          <t>Common</t>
        </is>
      </c>
      <c r="H34" t="inlineStr">
        <is>
          <t>HOB</t>
        </is>
      </c>
      <c r="I34" t="inlineStr">
        <is>
          <t>0</t>
        </is>
      </c>
      <c r="J34">
        <f>IMAGE("https://api.scryfall.com/cards/named?exact=Forest&amp;format=image&amp;version=normal")</f>
        <v/>
      </c>
      <c r="K34" t="inlineStr"/>
      <c r="L34" t="inlineStr">
        <is>
          <t>({T}: Add {G}.)</t>
        </is>
      </c>
    </row>
    <row r="35" ht="270" customHeight="1">
      <c r="A35" t="inlineStr">
        <is>
          <t>1</t>
        </is>
      </c>
      <c r="B35" t="inlineStr">
        <is>
          <t>Frog Butler</t>
        </is>
      </c>
      <c r="C35" t="b">
        <v>1</v>
      </c>
      <c r="D35" t="b">
        <v>1</v>
      </c>
      <c r="E35" t="inlineStr">
        <is>
          <t>Creature with ability; replace with vanilla body.</t>
        </is>
      </c>
      <c r="F35" t="inlineStr">
        <is>
          <t>On Theme</t>
        </is>
      </c>
      <c r="G35" t="inlineStr">
        <is>
          <t>Common</t>
        </is>
      </c>
      <c r="H35" t="inlineStr">
        <is>
          <t>TMT</t>
        </is>
      </c>
      <c r="I35" t="inlineStr">
        <is>
          <t>2</t>
        </is>
      </c>
      <c r="J35">
        <f>IMAGE("https://api.scryfall.com/cards/named?exact=Frog%20Butler&amp;format=image&amp;version=normal")</f>
        <v/>
      </c>
      <c r="K35" t="inlineStr">
        <is>
          <t>$0.27</t>
        </is>
      </c>
      <c r="L35" t="inlineStr">
        <is>
          <t>Deathtouch {T}: Add one mana of any color. {2}: This creature gains reach until end of turn.</t>
        </is>
      </c>
    </row>
    <row r="36" ht="270" customHeight="1">
      <c r="A36" t="inlineStr">
        <is>
          <t>1</t>
        </is>
      </c>
      <c r="B36" t="inlineStr">
        <is>
          <t>Garruk's Gorehorn</t>
        </is>
      </c>
      <c r="C36" t="b">
        <v>1</v>
      </c>
      <c r="D36" t="b">
        <v>1</v>
      </c>
      <c r="E36" t="inlineStr">
        <is>
          <t>Bloodrush/ability creature; replace with vanilla body.</t>
        </is>
      </c>
      <c r="F36" t="inlineStr">
        <is>
          <t>On Theme</t>
        </is>
      </c>
      <c r="G36" t="inlineStr">
        <is>
          <t>Common</t>
        </is>
      </c>
      <c r="H36" t="inlineStr">
        <is>
          <t>M21</t>
        </is>
      </c>
      <c r="I36" t="inlineStr">
        <is>
          <t>5</t>
        </is>
      </c>
      <c r="J36">
        <f>IMAGE("https://api.scryfall.com/cards/named?exact=Garruk%27s%20Gorehorn&amp;format=image&amp;version=normal")</f>
        <v/>
      </c>
      <c r="K36" t="inlineStr">
        <is>
          <t>$0.20</t>
        </is>
      </c>
      <c r="L36" t="inlineStr"/>
    </row>
    <row r="37" ht="270" customHeight="1">
      <c r="A37" t="inlineStr">
        <is>
          <t>1</t>
        </is>
      </c>
      <c r="B37" t="inlineStr">
        <is>
          <t>Garruk's Uprising</t>
        </is>
      </c>
      <c r="C37" t="b">
        <v>0</v>
      </c>
      <c r="D37" t="b">
        <v>0</v>
      </c>
      <c r="E37" t="inlineStr"/>
      <c r="F37" t="inlineStr">
        <is>
          <t>Card Advantage</t>
        </is>
      </c>
      <c r="G37" t="inlineStr">
        <is>
          <t>Uncommon</t>
        </is>
      </c>
      <c r="H37" t="inlineStr">
        <is>
          <t>ECC</t>
        </is>
      </c>
      <c r="I37" t="inlineStr">
        <is>
          <t>3</t>
        </is>
      </c>
      <c r="J37">
        <f>IMAGE("https://api.scryfall.com/cards/named?exact=Garruk%27s%20Uprising&amp;format=image&amp;version=normal")</f>
        <v/>
      </c>
      <c r="K37" t="inlineStr">
        <is>
          <t>$0.45</t>
        </is>
      </c>
      <c r="L37" t="inlineStr">
        <is>
          <t>When this enchantment enters, if you control a creature with power 4 or greater, draw a card. Creatures you control have trample. (Each of those creatures can deal excess combat damage to the player or planeswalker it's attacking.) Whenever a creature you control with power 4 or greater enters, draw a card.</t>
        </is>
      </c>
    </row>
    <row r="38" ht="270" customHeight="1">
      <c r="A38" t="inlineStr">
        <is>
          <t>1</t>
        </is>
      </c>
      <c r="B38" t="inlineStr">
        <is>
          <t>Generous Gift</t>
        </is>
      </c>
      <c r="C38" t="b">
        <v>0</v>
      </c>
      <c r="D38" t="b">
        <v>0</v>
      </c>
      <c r="E38" t="inlineStr"/>
      <c r="F38" t="inlineStr">
        <is>
          <t>Interaction</t>
        </is>
      </c>
      <c r="G38" t="inlineStr">
        <is>
          <t>Rare</t>
        </is>
      </c>
      <c r="H38" t="inlineStr">
        <is>
          <t>SLD</t>
        </is>
      </c>
      <c r="I38" t="inlineStr">
        <is>
          <t>3</t>
        </is>
      </c>
      <c r="J38">
        <f>IMAGE("https://api.scryfall.com/cards/named?exact=Generous%20Gift&amp;format=image&amp;version=normal")</f>
        <v/>
      </c>
      <c r="K38" t="inlineStr">
        <is>
          <t>$4.92</t>
        </is>
      </c>
      <c r="L38" t="inlineStr">
        <is>
          <t>Destroy target permanent. Its controller creates a 3/3 green Elephant creature token.</t>
        </is>
      </c>
    </row>
    <row r="39" ht="270" customHeight="1">
      <c r="A39" t="inlineStr">
        <is>
          <t>1</t>
        </is>
      </c>
      <c r="B39" t="inlineStr">
        <is>
          <t>Gigantosaurus</t>
        </is>
      </c>
      <c r="C39" t="b">
        <v>0</v>
      </c>
      <c r="D39" t="b">
        <v>0</v>
      </c>
      <c r="E39" t="inlineStr"/>
      <c r="F39" t="inlineStr">
        <is>
          <t>On Theme</t>
        </is>
      </c>
      <c r="G39" t="inlineStr">
        <is>
          <t>Rare</t>
        </is>
      </c>
      <c r="H39" t="inlineStr">
        <is>
          <t>FDN</t>
        </is>
      </c>
      <c r="I39" t="inlineStr">
        <is>
          <t>5</t>
        </is>
      </c>
      <c r="J39">
        <f>IMAGE("https://api.scryfall.com/cards/named?exact=Gigantosaurus&amp;format=image&amp;version=normal")</f>
        <v/>
      </c>
      <c r="K39" t="inlineStr"/>
      <c r="L39" t="inlineStr"/>
    </row>
    <row r="40" ht="270" customHeight="1">
      <c r="A40" t="inlineStr">
        <is>
          <t>1</t>
        </is>
      </c>
      <c r="B40" t="inlineStr">
        <is>
          <t>Harmonize</t>
        </is>
      </c>
      <c r="C40" t="b">
        <v>1</v>
      </c>
      <c r="D40" t="b">
        <v>0</v>
      </c>
      <c r="E40" t="inlineStr"/>
      <c r="F40" t="inlineStr">
        <is>
          <t>Card Advantage</t>
        </is>
      </c>
      <c r="G40" t="inlineStr">
        <is>
          <t>Uncommon</t>
        </is>
      </c>
      <c r="H40" t="inlineStr">
        <is>
          <t>TMC</t>
        </is>
      </c>
      <c r="I40" t="inlineStr">
        <is>
          <t>4</t>
        </is>
      </c>
      <c r="J40">
        <f>IMAGE("https://api.scryfall.com/cards/named?exact=Harmonize&amp;format=image&amp;version=normal")</f>
        <v/>
      </c>
      <c r="K40" t="inlineStr">
        <is>
          <t>$0.30</t>
        </is>
      </c>
      <c r="L40" t="inlineStr">
        <is>
          <t>Draw three cards.</t>
        </is>
      </c>
    </row>
    <row r="41" ht="270" customHeight="1">
      <c r="A41" t="inlineStr">
        <is>
          <t>1</t>
        </is>
      </c>
      <c r="B41" t="inlineStr">
        <is>
          <t>Harvest Season</t>
        </is>
      </c>
      <c r="C41" t="b">
        <v>1</v>
      </c>
      <c r="D41" t="b">
        <v>0</v>
      </c>
      <c r="E41" t="inlineStr"/>
      <c r="F41" t="inlineStr">
        <is>
          <t>Ramp</t>
        </is>
      </c>
      <c r="G41" t="inlineStr">
        <is>
          <t>Rare</t>
        </is>
      </c>
      <c r="H41" t="inlineStr">
        <is>
          <t>SCD</t>
        </is>
      </c>
      <c r="I41" t="inlineStr">
        <is>
          <t>3</t>
        </is>
      </c>
      <c r="J41">
        <f>IMAGE("https://api.scryfall.com/cards/named?exact=Harvest%20Season&amp;format=image&amp;version=normal")</f>
        <v/>
      </c>
      <c r="K41" t="inlineStr">
        <is>
          <t>$0.94</t>
        </is>
      </c>
      <c r="L41" t="inlineStr">
        <is>
          <t>Search your library for up to X basic land cards, where X is the number of tapped creatures you control, put those cards onto the battlefield tapped, then shuffle.</t>
        </is>
      </c>
    </row>
    <row r="42" ht="270" customHeight="1">
      <c r="A42" t="inlineStr">
        <is>
          <t>1</t>
        </is>
      </c>
      <c r="B42" t="inlineStr">
        <is>
          <t>Hunter's Insight</t>
        </is>
      </c>
      <c r="C42" t="b">
        <v>0</v>
      </c>
      <c r="D42" t="b">
        <v>0</v>
      </c>
      <c r="E42" t="inlineStr"/>
      <c r="F42" t="inlineStr">
        <is>
          <t>Card Advantage</t>
        </is>
      </c>
      <c r="G42" t="inlineStr">
        <is>
          <t>Rare</t>
        </is>
      </c>
      <c r="H42" t="inlineStr">
        <is>
          <t>SLD</t>
        </is>
      </c>
      <c r="I42" t="inlineStr">
        <is>
          <t>3</t>
        </is>
      </c>
      <c r="J42">
        <f>IMAGE("https://api.scryfall.com/cards/named?exact=Hunter%27s%20Insight&amp;format=image&amp;version=normal")</f>
        <v/>
      </c>
      <c r="K42" t="inlineStr"/>
      <c r="L42" t="inlineStr">
        <is>
          <t>Choose target creature you control. Whenever that creature deals combat damage to a player or planeswalker this turn, draw that many cards.</t>
        </is>
      </c>
    </row>
    <row r="43" ht="270" customHeight="1">
      <c r="A43" t="inlineStr">
        <is>
          <t>1</t>
        </is>
      </c>
      <c r="B43" t="inlineStr">
        <is>
          <t>Indomitable Ancients</t>
        </is>
      </c>
      <c r="C43" t="b">
        <v>1</v>
      </c>
      <c r="D43" t="b">
        <v>0</v>
      </c>
      <c r="E43" t="inlineStr"/>
      <c r="F43" t="inlineStr">
        <is>
          <t>On Theme</t>
        </is>
      </c>
      <c r="G43" t="inlineStr">
        <is>
          <t>Rare</t>
        </is>
      </c>
      <c r="H43" t="inlineStr">
        <is>
          <t>TDC</t>
        </is>
      </c>
      <c r="I43" t="inlineStr">
        <is>
          <t>4</t>
        </is>
      </c>
      <c r="J43">
        <f>IMAGE("https://api.scryfall.com/cards/named?exact=Indomitable%20Ancients&amp;format=image&amp;version=normal")</f>
        <v/>
      </c>
      <c r="K43" t="inlineStr">
        <is>
          <t>$0.41</t>
        </is>
      </c>
      <c r="L43" t="inlineStr"/>
    </row>
    <row r="44" ht="270" customHeight="1">
      <c r="A44" t="inlineStr">
        <is>
          <t>1</t>
        </is>
      </c>
      <c r="B44" t="inlineStr">
        <is>
          <t>Isamaru, Hound of Konda</t>
        </is>
      </c>
      <c r="C44" t="b">
        <v>0</v>
      </c>
      <c r="D44" t="b">
        <v>0</v>
      </c>
      <c r="E44" t="inlineStr"/>
      <c r="F44" t="inlineStr">
        <is>
          <t>On Theme</t>
        </is>
      </c>
      <c r="G44" t="inlineStr">
        <is>
          <t>Rare</t>
        </is>
      </c>
      <c r="H44" t="inlineStr">
        <is>
          <t>J22</t>
        </is>
      </c>
      <c r="I44" t="inlineStr">
        <is>
          <t>1</t>
        </is>
      </c>
      <c r="J44">
        <f>IMAGE("https://api.scryfall.com/cards/named?exact=Isamaru%2C%20Hound%20of%20Konda&amp;format=image&amp;version=normal")</f>
        <v/>
      </c>
      <c r="K44" t="inlineStr">
        <is>
          <t>$1.24</t>
        </is>
      </c>
      <c r="L44" t="inlineStr"/>
    </row>
    <row r="45" ht="270" customHeight="1">
      <c r="A45" t="inlineStr">
        <is>
          <t>1</t>
        </is>
      </c>
      <c r="B45" t="inlineStr">
        <is>
          <t>Jasmine Boreal of the Seven</t>
        </is>
      </c>
      <c r="C45" t="b">
        <v>1</v>
      </c>
      <c r="D45" t="b">
        <v>0</v>
      </c>
      <c r="E45" t="inlineStr"/>
      <c r="F45" t="inlineStr">
        <is>
          <t>On Theme</t>
        </is>
      </c>
      <c r="G45" t="inlineStr">
        <is>
          <t>Uncommon</t>
        </is>
      </c>
      <c r="H45" t="inlineStr">
        <is>
          <t>DMC</t>
        </is>
      </c>
      <c r="I45" t="inlineStr">
        <is>
          <t>3</t>
        </is>
      </c>
      <c r="J45">
        <f>IMAGE("https://api.scryfall.com/cards/named?exact=Jasmine%20Boreal%20of%20the%20Seven&amp;format=image&amp;version=normal")</f>
        <v/>
      </c>
      <c r="K45" t="inlineStr"/>
      <c r="L45" t="inlineStr">
        <is>
          <t>{T}: Add {G}{W}. Spend this mana only to cast creature spells with no abilities. Creatures you control with no abilities can't be blocked by creatures with abilities.</t>
        </is>
      </c>
    </row>
    <row r="46" ht="270" customHeight="1">
      <c r="A46" t="inlineStr">
        <is>
          <t>1</t>
        </is>
      </c>
      <c r="B46" t="inlineStr">
        <is>
          <t>Kalonian Tusker</t>
        </is>
      </c>
      <c r="C46" t="b">
        <v>1</v>
      </c>
      <c r="D46" t="b">
        <v>0</v>
      </c>
      <c r="E46" t="inlineStr"/>
      <c r="F46" t="inlineStr">
        <is>
          <t>On Theme</t>
        </is>
      </c>
      <c r="G46" t="inlineStr">
        <is>
          <t>Uncommon</t>
        </is>
      </c>
      <c r="H46" t="inlineStr">
        <is>
          <t>M14</t>
        </is>
      </c>
      <c r="I46" t="inlineStr">
        <is>
          <t>2</t>
        </is>
      </c>
      <c r="J46">
        <f>IMAGE("https://api.scryfall.com/cards/named?exact=Kalonian%20Tusker&amp;format=image&amp;version=normal")</f>
        <v/>
      </c>
      <c r="K46" t="inlineStr">
        <is>
          <t>$0.15</t>
        </is>
      </c>
      <c r="L46" t="inlineStr"/>
    </row>
    <row r="47" ht="270" customHeight="1">
      <c r="A47" t="inlineStr">
        <is>
          <t>1</t>
        </is>
      </c>
      <c r="B47" t="inlineStr">
        <is>
          <t>Keep Out</t>
        </is>
      </c>
      <c r="C47" t="b">
        <v>1</v>
      </c>
      <c r="D47" t="b">
        <v>0</v>
      </c>
      <c r="E47" t="inlineStr"/>
      <c r="F47" t="inlineStr">
        <is>
          <t>Interaction</t>
        </is>
      </c>
      <c r="G47" t="inlineStr">
        <is>
          <t>Common</t>
        </is>
      </c>
      <c r="H47" t="inlineStr">
        <is>
          <t>ECL</t>
        </is>
      </c>
      <c r="I47" t="inlineStr">
        <is>
          <t>2</t>
        </is>
      </c>
      <c r="J47">
        <f>IMAGE("https://api.scryfall.com/cards/named?exact=Keep%20Out&amp;format=image&amp;version=normal")</f>
        <v/>
      </c>
      <c r="K47" t="inlineStr">
        <is>
          <t>$0.16</t>
        </is>
      </c>
      <c r="L47" t="inlineStr">
        <is>
          <t>Choose one — • Keep Out deals 4 damage to target tapped creature. • Destroy target enchantment.</t>
        </is>
      </c>
    </row>
    <row r="48" ht="270" customHeight="1">
      <c r="A48" t="inlineStr">
        <is>
          <t>1</t>
        </is>
      </c>
      <c r="B48" t="inlineStr">
        <is>
          <t>Kindercatch</t>
        </is>
      </c>
      <c r="C48" t="b">
        <v>1</v>
      </c>
      <c r="D48" t="b">
        <v>1</v>
      </c>
      <c r="E48" t="inlineStr">
        <is>
          <t>Triggered ability creature; off-plan.</t>
        </is>
      </c>
      <c r="F48" t="inlineStr">
        <is>
          <t>On Theme</t>
        </is>
      </c>
      <c r="G48" t="inlineStr">
        <is>
          <t>Common</t>
        </is>
      </c>
      <c r="H48" t="inlineStr">
        <is>
          <t>ISD</t>
        </is>
      </c>
      <c r="I48" t="inlineStr">
        <is>
          <t>6</t>
        </is>
      </c>
      <c r="J48">
        <f>IMAGE("https://api.scryfall.com/cards/named?exact=Kindercatch&amp;format=image&amp;version=normal")</f>
        <v/>
      </c>
      <c r="K48" t="inlineStr">
        <is>
          <t>$0.06</t>
        </is>
      </c>
      <c r="L48" t="inlineStr"/>
    </row>
    <row r="49" ht="270" customHeight="1">
      <c r="A49" t="inlineStr">
        <is>
          <t>1</t>
        </is>
      </c>
      <c r="B49" t="inlineStr">
        <is>
          <t>Krosan Verge</t>
        </is>
      </c>
      <c r="C49" t="b">
        <v>1</v>
      </c>
      <c r="D49" t="b">
        <v>0</v>
      </c>
      <c r="E49" t="inlineStr"/>
      <c r="F49" t="inlineStr">
        <is>
          <t>Lands</t>
        </is>
      </c>
      <c r="G49" t="inlineStr">
        <is>
          <t>Uncommon</t>
        </is>
      </c>
      <c r="H49" t="inlineStr">
        <is>
          <t>OTC</t>
        </is>
      </c>
      <c r="I49" t="inlineStr">
        <is>
          <t>0</t>
        </is>
      </c>
      <c r="J49">
        <f>IMAGE("https://api.scryfall.com/cards/named?exact=Krosan%20Verge&amp;format=image&amp;version=normal")</f>
        <v/>
      </c>
      <c r="K49" t="inlineStr">
        <is>
          <t>$0.33</t>
        </is>
      </c>
      <c r="L49" t="inlineStr">
        <is>
          <t>This land enters tapped. {T}: Add {C}. {2}, {T}, Sacrifice this land: Search your library for a Forest card and a Plains card, put them onto the battlefield tapped, then shuffle.</t>
        </is>
      </c>
    </row>
    <row r="50" ht="270" customHeight="1">
      <c r="A50" t="inlineStr">
        <is>
          <t>1</t>
        </is>
      </c>
      <c r="B50" t="inlineStr">
        <is>
          <t>Leatherback Baloth</t>
        </is>
      </c>
      <c r="C50" t="b">
        <v>0</v>
      </c>
      <c r="D50" t="b">
        <v>0</v>
      </c>
      <c r="E50" t="inlineStr"/>
      <c r="F50" t="inlineStr">
        <is>
          <t>On Theme</t>
        </is>
      </c>
      <c r="G50" t="inlineStr">
        <is>
          <t>Uncommon</t>
        </is>
      </c>
      <c r="H50" t="inlineStr">
        <is>
          <t>PLST</t>
        </is>
      </c>
      <c r="I50" t="inlineStr">
        <is>
          <t>3</t>
        </is>
      </c>
      <c r="J50">
        <f>IMAGE("https://api.scryfall.com/cards/named?exact=Leatherback%20Baloth&amp;format=image&amp;version=normal")</f>
        <v/>
      </c>
      <c r="K50" t="inlineStr">
        <is>
          <t>$0.19</t>
        </is>
      </c>
      <c r="L50" t="inlineStr"/>
    </row>
    <row r="51" ht="270" customHeight="1">
      <c r="A51" t="inlineStr">
        <is>
          <t>1</t>
        </is>
      </c>
      <c r="B51" t="inlineStr">
        <is>
          <t>Luminous Bonds</t>
        </is>
      </c>
      <c r="C51" t="b">
        <v>1</v>
      </c>
      <c r="D51" t="b">
        <v>1</v>
      </c>
      <c r="E51" t="inlineStr">
        <is>
          <t>Slow aura removal; replace with efficient removal.</t>
        </is>
      </c>
      <c r="F51" t="inlineStr">
        <is>
          <t>Interaction</t>
        </is>
      </c>
      <c r="G51" t="inlineStr">
        <is>
          <t>Common</t>
        </is>
      </c>
      <c r="H51" t="inlineStr">
        <is>
          <t>GRN</t>
        </is>
      </c>
      <c r="I51" t="inlineStr">
        <is>
          <t>3</t>
        </is>
      </c>
      <c r="J51">
        <f>IMAGE("https://api.scryfall.com/cards/named?exact=Luminous%20Bonds&amp;format=image&amp;version=normal")</f>
        <v/>
      </c>
      <c r="K51" t="inlineStr">
        <is>
          <t>$0.05</t>
        </is>
      </c>
      <c r="L51" t="inlineStr">
        <is>
          <t>Enchant creature Enchanted creature can't attack or block.</t>
        </is>
      </c>
    </row>
    <row r="52" ht="270" customHeight="1">
      <c r="A52" t="inlineStr">
        <is>
          <t>1</t>
        </is>
      </c>
      <c r="B52" t="inlineStr">
        <is>
          <t>Make Your Move</t>
        </is>
      </c>
      <c r="C52" t="b">
        <v>1</v>
      </c>
      <c r="D52" t="b">
        <v>0</v>
      </c>
      <c r="E52" t="inlineStr"/>
      <c r="F52" t="inlineStr">
        <is>
          <t>Interaction</t>
        </is>
      </c>
      <c r="G52" t="inlineStr">
        <is>
          <t>Common</t>
        </is>
      </c>
      <c r="H52" t="inlineStr">
        <is>
          <t>TMT</t>
        </is>
      </c>
      <c r="I52" t="inlineStr">
        <is>
          <t>3</t>
        </is>
      </c>
      <c r="J52">
        <f>IMAGE("https://api.scryfall.com/cards/named?exact=Make%20Your%20Move&amp;format=image&amp;version=normal")</f>
        <v/>
      </c>
      <c r="K52" t="inlineStr">
        <is>
          <t>$0.12</t>
        </is>
      </c>
      <c r="L52" t="inlineStr">
        <is>
          <t>Destroy target artifact, enchantment, or creature with power 4 or greater.</t>
        </is>
      </c>
    </row>
    <row r="53" ht="270" customHeight="1">
      <c r="A53" t="inlineStr">
        <is>
          <t>1</t>
        </is>
      </c>
      <c r="B53" t="inlineStr">
        <is>
          <t>Manalith</t>
        </is>
      </c>
      <c r="C53" t="b">
        <v>1</v>
      </c>
      <c r="D53" t="b">
        <v>1</v>
      </c>
      <c r="E53" t="inlineStr">
        <is>
          <t>Inefficient ramp; replace with 2-mana ramp.</t>
        </is>
      </c>
      <c r="F53" t="inlineStr">
        <is>
          <t>Ramp</t>
        </is>
      </c>
      <c r="G53" t="inlineStr">
        <is>
          <t>Common</t>
        </is>
      </c>
      <c r="H53" t="inlineStr">
        <is>
          <t>GNT</t>
        </is>
      </c>
      <c r="I53" t="inlineStr">
        <is>
          <t>3</t>
        </is>
      </c>
      <c r="J53">
        <f>IMAGE("https://api.scryfall.com/cards/named?exact=Manalith&amp;format=image&amp;version=normal")</f>
        <v/>
      </c>
      <c r="K53" t="inlineStr">
        <is>
          <t>$0.78</t>
        </is>
      </c>
      <c r="L53" t="inlineStr">
        <is>
          <t>{T}: Add one mana of any color.</t>
        </is>
      </c>
    </row>
    <row r="54" ht="270" customHeight="1">
      <c r="A54" t="inlineStr">
        <is>
          <t>1</t>
        </is>
      </c>
      <c r="B54" t="inlineStr">
        <is>
          <t>Myriad Landscape</t>
        </is>
      </c>
      <c r="C54" t="b">
        <v>1</v>
      </c>
      <c r="D54" t="b">
        <v>0</v>
      </c>
      <c r="E54" t="inlineStr"/>
      <c r="F54" t="inlineStr">
        <is>
          <t>Lands</t>
        </is>
      </c>
      <c r="G54" t="inlineStr">
        <is>
          <t>Uncommon</t>
        </is>
      </c>
      <c r="H54" t="inlineStr">
        <is>
          <t>EOC</t>
        </is>
      </c>
      <c r="I54" t="inlineStr">
        <is>
          <t>0</t>
        </is>
      </c>
      <c r="J54">
        <f>IMAGE("https://api.scryfall.com/cards/named?exact=Myriad%20Landscape&amp;format=image&amp;version=normal")</f>
        <v/>
      </c>
      <c r="K54" t="inlineStr">
        <is>
          <t>$0.24</t>
        </is>
      </c>
      <c r="L54" t="inlineStr">
        <is>
          <t>This land enters tapped. {T}: Add {C}. {2}, {T}, Sacrifice this land: Search your library for up to two basic land cards that share a land type, put them onto the battlefield tapped, then shuffle.</t>
        </is>
      </c>
    </row>
    <row r="55" ht="270" customHeight="1">
      <c r="A55" t="inlineStr">
        <is>
          <t>1</t>
        </is>
      </c>
      <c r="B55" t="inlineStr">
        <is>
          <t>Naturalize</t>
        </is>
      </c>
      <c r="C55" t="b">
        <v>1</v>
      </c>
      <c r="D55" t="b">
        <v>0</v>
      </c>
      <c r="E55" t="inlineStr"/>
      <c r="F55" t="inlineStr">
        <is>
          <t>Interaction</t>
        </is>
      </c>
      <c r="G55" t="inlineStr">
        <is>
          <t>Common</t>
        </is>
      </c>
      <c r="H55" t="inlineStr">
        <is>
          <t>PLST</t>
        </is>
      </c>
      <c r="I55" t="inlineStr">
        <is>
          <t>2</t>
        </is>
      </c>
      <c r="J55">
        <f>IMAGE("https://api.scryfall.com/cards/named?exact=Naturalize&amp;format=image&amp;version=normal")</f>
        <v/>
      </c>
      <c r="K55" t="inlineStr">
        <is>
          <t>$0.25</t>
        </is>
      </c>
      <c r="L55" t="inlineStr">
        <is>
          <t>Destroy target artifact or enchantment.</t>
        </is>
      </c>
    </row>
    <row r="56" ht="270" customHeight="1">
      <c r="A56" t="inlineStr">
        <is>
          <t>1</t>
        </is>
      </c>
      <c r="B56" t="inlineStr">
        <is>
          <t>Nessian Courser</t>
        </is>
      </c>
      <c r="C56" t="b">
        <v>0</v>
      </c>
      <c r="D56" t="b">
        <v>0</v>
      </c>
      <c r="E56" t="inlineStr"/>
      <c r="F56" t="inlineStr">
        <is>
          <t>On Theme</t>
        </is>
      </c>
      <c r="G56" t="inlineStr">
        <is>
          <t>Common</t>
        </is>
      </c>
      <c r="H56" t="inlineStr">
        <is>
          <t>THS</t>
        </is>
      </c>
      <c r="I56" t="inlineStr">
        <is>
          <t>3</t>
        </is>
      </c>
      <c r="J56">
        <f>IMAGE("https://api.scryfall.com/cards/named?exact=Nessian%20Courser&amp;format=image&amp;version=normal")</f>
        <v/>
      </c>
      <c r="K56" t="inlineStr">
        <is>
          <t>$0.06</t>
        </is>
      </c>
      <c r="L56" t="inlineStr"/>
    </row>
    <row r="57" ht="270" customHeight="1">
      <c r="A57" t="inlineStr">
        <is>
          <t>1</t>
        </is>
      </c>
      <c r="B57" t="inlineStr">
        <is>
          <t>Oakenform</t>
        </is>
      </c>
      <c r="C57" t="b">
        <v>1</v>
      </c>
      <c r="D57" t="b">
        <v>1</v>
      </c>
      <c r="E57" t="inlineStr">
        <is>
          <t>Aura risk; replace with flexible interaction.</t>
        </is>
      </c>
      <c r="F57" t="inlineStr">
        <is>
          <t>On Theme</t>
        </is>
      </c>
      <c r="G57" t="inlineStr">
        <is>
          <t>Common</t>
        </is>
      </c>
      <c r="H57" t="inlineStr">
        <is>
          <t>M20</t>
        </is>
      </c>
      <c r="I57" t="inlineStr">
        <is>
          <t>3</t>
        </is>
      </c>
      <c r="J57">
        <f>IMAGE("https://api.scryfall.com/cards/named?exact=Oakenform&amp;format=image&amp;version=normal")</f>
        <v/>
      </c>
      <c r="K57" t="inlineStr">
        <is>
          <t>$0.23</t>
        </is>
      </c>
      <c r="L57" t="inlineStr">
        <is>
          <t>Enchant creature Enchanted creature gets +3/+3.</t>
        </is>
      </c>
    </row>
    <row r="58" ht="270" customHeight="1">
      <c r="A58" t="inlineStr">
        <is>
          <t>1</t>
        </is>
      </c>
      <c r="B58" t="inlineStr">
        <is>
          <t>Oreskos Swiftclaw</t>
        </is>
      </c>
      <c r="C58" t="b">
        <v>1</v>
      </c>
      <c r="D58" t="b">
        <v>0</v>
      </c>
      <c r="E58" t="inlineStr"/>
      <c r="F58" t="inlineStr">
        <is>
          <t>On Theme</t>
        </is>
      </c>
      <c r="G58" t="inlineStr">
        <is>
          <t>Common</t>
        </is>
      </c>
      <c r="H58" t="inlineStr">
        <is>
          <t>PLST</t>
        </is>
      </c>
      <c r="I58" t="inlineStr">
        <is>
          <t>2</t>
        </is>
      </c>
      <c r="J58">
        <f>IMAGE("https://api.scryfall.com/cards/named?exact=Oreskos%20Swiftclaw&amp;format=image&amp;version=normal")</f>
        <v/>
      </c>
      <c r="K58" t="inlineStr">
        <is>
          <t>$0.10</t>
        </is>
      </c>
      <c r="L58" t="inlineStr"/>
    </row>
    <row r="59" ht="270" customHeight="1">
      <c r="A59" t="inlineStr">
        <is>
          <t>1</t>
        </is>
      </c>
      <c r="B59" t="inlineStr">
        <is>
          <t>Overwhelming Stampede</t>
        </is>
      </c>
      <c r="C59" t="b">
        <v>0</v>
      </c>
      <c r="D59" t="b">
        <v>0</v>
      </c>
      <c r="E59" t="inlineStr"/>
      <c r="F59" t="inlineStr">
        <is>
          <t>On Theme</t>
        </is>
      </c>
      <c r="G59" t="inlineStr">
        <is>
          <t>Rare</t>
        </is>
      </c>
      <c r="H59" t="inlineStr">
        <is>
          <t>DSC</t>
        </is>
      </c>
      <c r="I59" t="inlineStr">
        <is>
          <t>5</t>
        </is>
      </c>
      <c r="J59">
        <f>IMAGE("https://api.scryfall.com/cards/named?exact=Overwhelming%20Stampede&amp;format=image&amp;version=normal")</f>
        <v/>
      </c>
      <c r="K59" t="inlineStr">
        <is>
          <t>$1.54</t>
        </is>
      </c>
      <c r="L59" t="inlineStr">
        <is>
          <t>Until end of turn, creatures you control gain trample and get +X/+X, where X is the greatest power among creatures you control.</t>
        </is>
      </c>
    </row>
    <row r="60" ht="270" customHeight="1">
      <c r="A60" t="inlineStr">
        <is>
          <t>1</t>
        </is>
      </c>
      <c r="B60" t="inlineStr">
        <is>
          <t>Path to Exile</t>
        </is>
      </c>
      <c r="C60" t="b">
        <v>1</v>
      </c>
      <c r="D60" t="b">
        <v>0</v>
      </c>
      <c r="E60" t="inlineStr"/>
      <c r="F60" t="inlineStr">
        <is>
          <t>Interaction</t>
        </is>
      </c>
      <c r="G60" t="inlineStr">
        <is>
          <t>Uncommon</t>
        </is>
      </c>
      <c r="H60" t="inlineStr">
        <is>
          <t>SOC</t>
        </is>
      </c>
      <c r="I60" t="inlineStr">
        <is>
          <t>1</t>
        </is>
      </c>
      <c r="J60">
        <f>IMAGE("https://api.scryfall.com/cards/named?exact=Path%20to%20Exile&amp;format=image&amp;version=normal")</f>
        <v/>
      </c>
      <c r="K60" t="inlineStr">
        <is>
          <t>$1.05</t>
        </is>
      </c>
      <c r="L60" t="inlineStr">
        <is>
          <t>Exile target creature. Its controller may search their library for a basic land card, put that card onto the battlefield tapped, then shuffle.</t>
        </is>
      </c>
    </row>
    <row r="61" ht="270" customHeight="1">
      <c r="A61" t="inlineStr">
        <is>
          <t>1</t>
        </is>
      </c>
      <c r="B61" t="inlineStr">
        <is>
          <t>Pillar Launch</t>
        </is>
      </c>
      <c r="C61" t="b">
        <v>1</v>
      </c>
      <c r="D61" t="b">
        <v>0</v>
      </c>
      <c r="E61" t="inlineStr"/>
      <c r="F61" t="inlineStr">
        <is>
          <t>Interaction</t>
        </is>
      </c>
      <c r="G61" t="inlineStr">
        <is>
          <t>Common</t>
        </is>
      </c>
      <c r="H61" t="inlineStr">
        <is>
          <t>TLA</t>
        </is>
      </c>
      <c r="I61" t="inlineStr">
        <is>
          <t>1</t>
        </is>
      </c>
      <c r="J61">
        <f>IMAGE("https://api.scryfall.com/cards/named?exact=Pillar%20Launch&amp;format=image&amp;version=normal")</f>
        <v/>
      </c>
      <c r="K61" t="inlineStr">
        <is>
          <t>$0.16</t>
        </is>
      </c>
      <c r="L61" t="inlineStr">
        <is>
          <t>Target creature gets +2/+2 and gains reach until end of turn. Untap it.</t>
        </is>
      </c>
    </row>
    <row r="62" ht="270" customHeight="1">
      <c r="A62" t="inlineStr">
        <is>
          <t>13</t>
        </is>
      </c>
      <c r="B62" t="inlineStr">
        <is>
          <t>Plains</t>
        </is>
      </c>
      <c r="C62" t="b">
        <v>1</v>
      </c>
      <c r="D62" t="b">
        <v>0</v>
      </c>
      <c r="E62" t="inlineStr"/>
      <c r="F62" t="inlineStr">
        <is>
          <t>Lands</t>
        </is>
      </c>
      <c r="G62" t="inlineStr">
        <is>
          <t>Common</t>
        </is>
      </c>
      <c r="H62" t="inlineStr">
        <is>
          <t>HOB</t>
        </is>
      </c>
      <c r="I62" t="inlineStr">
        <is>
          <t>0</t>
        </is>
      </c>
      <c r="J62">
        <f>IMAGE("https://api.scryfall.com/cards/named?exact=Plains&amp;format=image&amp;version=normal")</f>
        <v/>
      </c>
      <c r="K62" t="inlineStr"/>
      <c r="L62" t="inlineStr">
        <is>
          <t>({T}: Add {W}.)</t>
        </is>
      </c>
    </row>
    <row r="63" ht="270" customHeight="1">
      <c r="A63" t="inlineStr">
        <is>
          <t>1</t>
        </is>
      </c>
      <c r="B63" t="inlineStr">
        <is>
          <t>Primordial Wurm</t>
        </is>
      </c>
      <c r="C63" t="b">
        <v>1</v>
      </c>
      <c r="D63" t="b">
        <v>0</v>
      </c>
      <c r="E63" t="inlineStr"/>
      <c r="F63" t="inlineStr">
        <is>
          <t>On Theme</t>
        </is>
      </c>
      <c r="G63" t="inlineStr">
        <is>
          <t>Common</t>
        </is>
      </c>
      <c r="H63" t="inlineStr">
        <is>
          <t>WAR</t>
        </is>
      </c>
      <c r="I63" t="inlineStr">
        <is>
          <t>6</t>
        </is>
      </c>
      <c r="J63">
        <f>IMAGE("https://api.scryfall.com/cards/named?exact=Primordial%20Wurm&amp;format=image&amp;version=normal")</f>
        <v/>
      </c>
      <c r="K63" t="inlineStr">
        <is>
          <t>$0.05</t>
        </is>
      </c>
      <c r="L63" t="inlineStr"/>
    </row>
    <row r="64" ht="270" customHeight="1">
      <c r="A64" t="inlineStr">
        <is>
          <t>1</t>
        </is>
      </c>
      <c r="B64" t="inlineStr">
        <is>
          <t>Quakestrider Ceratops</t>
        </is>
      </c>
      <c r="C64" t="b">
        <v>1</v>
      </c>
      <c r="D64" t="b">
        <v>1</v>
      </c>
      <c r="E64" t="inlineStr">
        <is>
          <t>Ability creature; off-plan.</t>
        </is>
      </c>
      <c r="F64" t="inlineStr">
        <is>
          <t>On Theme</t>
        </is>
      </c>
      <c r="G64" t="inlineStr">
        <is>
          <t>Uncommon</t>
        </is>
      </c>
      <c r="H64" t="inlineStr">
        <is>
          <t>FDN</t>
        </is>
      </c>
      <c r="I64" t="inlineStr">
        <is>
          <t>6</t>
        </is>
      </c>
      <c r="J64">
        <f>IMAGE("https://api.scryfall.com/cards/named?exact=Quakestrider%20Ceratops&amp;format=image&amp;version=normal")</f>
        <v/>
      </c>
      <c r="K64" t="inlineStr">
        <is>
          <t>$0.22</t>
        </is>
      </c>
      <c r="L64" t="inlineStr"/>
    </row>
    <row r="65" ht="270" customHeight="1">
      <c r="A65" t="inlineStr">
        <is>
          <t>1</t>
        </is>
      </c>
      <c r="B65" t="inlineStr">
        <is>
          <t>Quilled Slagwurm</t>
        </is>
      </c>
      <c r="C65" t="b">
        <v>1</v>
      </c>
      <c r="D65" t="b">
        <v>0</v>
      </c>
      <c r="E65" t="inlineStr"/>
      <c r="F65" t="inlineStr">
        <is>
          <t>On Theme</t>
        </is>
      </c>
      <c r="G65" t="inlineStr">
        <is>
          <t>Uncommon</t>
        </is>
      </c>
      <c r="H65" t="inlineStr">
        <is>
          <t>MBS</t>
        </is>
      </c>
      <c r="I65" t="inlineStr">
        <is>
          <t>7</t>
        </is>
      </c>
      <c r="J65">
        <f>IMAGE("https://api.scryfall.com/cards/named?exact=Quilled%20Slagwurm&amp;format=image&amp;version=normal")</f>
        <v/>
      </c>
      <c r="K65" t="inlineStr">
        <is>
          <t>$0.12</t>
        </is>
      </c>
      <c r="L65" t="inlineStr"/>
    </row>
    <row r="66" ht="270" customHeight="1">
      <c r="A66" t="inlineStr">
        <is>
          <t>1</t>
        </is>
      </c>
      <c r="B66" t="inlineStr">
        <is>
          <t>Rabid Bite</t>
        </is>
      </c>
      <c r="C66" t="b">
        <v>1</v>
      </c>
      <c r="D66" t="b">
        <v>0</v>
      </c>
      <c r="E66" t="inlineStr"/>
      <c r="F66" t="inlineStr">
        <is>
          <t>Interaction</t>
        </is>
      </c>
      <c r="G66" t="inlineStr">
        <is>
          <t>Common</t>
        </is>
      </c>
      <c r="H66" t="inlineStr">
        <is>
          <t>BLB</t>
        </is>
      </c>
      <c r="I66" t="inlineStr">
        <is>
          <t>2</t>
        </is>
      </c>
      <c r="J66">
        <f>IMAGE("https://api.scryfall.com/cards/named?exact=Rabid%20Bite&amp;format=image&amp;version=normal")</f>
        <v/>
      </c>
      <c r="K66" t="inlineStr">
        <is>
          <t>$0.15</t>
        </is>
      </c>
      <c r="L66" t="inlineStr">
        <is>
          <t>Target creature you control deals damage equal to its power to target creature you don't control.</t>
        </is>
      </c>
    </row>
    <row r="67" ht="270" customHeight="1">
      <c r="A67" t="inlineStr">
        <is>
          <t>1</t>
        </is>
      </c>
      <c r="B67" t="inlineStr">
        <is>
          <t>Radiant Grove</t>
        </is>
      </c>
      <c r="C67" t="b">
        <v>1</v>
      </c>
      <c r="D67" t="b">
        <v>0</v>
      </c>
      <c r="E67" t="inlineStr"/>
      <c r="F67" t="inlineStr">
        <is>
          <t>Lands</t>
        </is>
      </c>
      <c r="G67" t="inlineStr">
        <is>
          <t>Common</t>
        </is>
      </c>
      <c r="H67" t="inlineStr">
        <is>
          <t>FIC</t>
        </is>
      </c>
      <c r="I67" t="inlineStr">
        <is>
          <t>0</t>
        </is>
      </c>
      <c r="J67">
        <f>IMAGE("https://api.scryfall.com/cards/named?exact=Radiant%20Grove&amp;format=image&amp;version=normal")</f>
        <v/>
      </c>
      <c r="K67" t="inlineStr">
        <is>
          <t>$0.29</t>
        </is>
      </c>
      <c r="L67" t="inlineStr">
        <is>
          <t>({T}: Add {G} or {W}.) This land enters tapped.</t>
        </is>
      </c>
    </row>
    <row r="68" ht="270" customHeight="1">
      <c r="A68" t="inlineStr">
        <is>
          <t>1</t>
        </is>
      </c>
      <c r="B68" t="inlineStr">
        <is>
          <t>Rampaging Baloths</t>
        </is>
      </c>
      <c r="C68" t="b">
        <v>1</v>
      </c>
      <c r="D68" t="b">
        <v>1</v>
      </c>
      <c r="E68" t="inlineStr">
        <is>
          <t>Ability-focused payoff; not aligned with no-abilities plan.</t>
        </is>
      </c>
      <c r="F68" t="inlineStr">
        <is>
          <t>On Theme</t>
        </is>
      </c>
      <c r="G68" t="inlineStr">
        <is>
          <t>Rare</t>
        </is>
      </c>
      <c r="H68" t="inlineStr">
        <is>
          <t>SLD</t>
        </is>
      </c>
      <c r="I68" t="inlineStr">
        <is>
          <t>6</t>
        </is>
      </c>
      <c r="J68">
        <f>IMAGE("https://api.scryfall.com/cards/named?exact=Rampaging%20Baloths&amp;format=image&amp;version=normal")</f>
        <v/>
      </c>
      <c r="K68" t="inlineStr">
        <is>
          <t>$4.88</t>
        </is>
      </c>
      <c r="L68" t="inlineStr">
        <is>
          <t>Trample Landfall — Whenever a land you control enters, create a 4/4 green Beast creature token.</t>
        </is>
      </c>
    </row>
    <row r="69" ht="270" customHeight="1">
      <c r="A69" t="inlineStr">
        <is>
          <t>1</t>
        </is>
      </c>
      <c r="B69" t="inlineStr">
        <is>
          <t>Rampant Growth</t>
        </is>
      </c>
      <c r="C69" t="b">
        <v>0</v>
      </c>
      <c r="D69" t="b">
        <v>0</v>
      </c>
      <c r="E69" t="inlineStr"/>
      <c r="F69" t="inlineStr">
        <is>
          <t>Ramp</t>
        </is>
      </c>
      <c r="G69" t="inlineStr">
        <is>
          <t>Common</t>
        </is>
      </c>
      <c r="H69" t="inlineStr">
        <is>
          <t>FIC</t>
        </is>
      </c>
      <c r="I69" t="inlineStr">
        <is>
          <t>2</t>
        </is>
      </c>
      <c r="J69">
        <f>IMAGE("https://api.scryfall.com/cards/named?exact=Rampant%20Growth&amp;format=image&amp;version=normal")</f>
        <v/>
      </c>
      <c r="K69" t="inlineStr">
        <is>
          <t>$0.35</t>
        </is>
      </c>
      <c r="L69" t="inlineStr">
        <is>
          <t>Search your library for a basic land card, put that card onto the battlefield tapped, then shuffle.</t>
        </is>
      </c>
    </row>
    <row r="70" ht="270" customHeight="1">
      <c r="A70" t="inlineStr">
        <is>
          <t>1</t>
        </is>
      </c>
      <c r="B70" t="inlineStr">
        <is>
          <t>Raucous Audience</t>
        </is>
      </c>
      <c r="C70" t="b">
        <v>1</v>
      </c>
      <c r="D70" t="b">
        <v>1</v>
      </c>
      <c r="E70" t="inlineStr">
        <is>
          <t>Creature with ability; focus on no-ability attackers.</t>
        </is>
      </c>
      <c r="F70" t="inlineStr">
        <is>
          <t>On Theme</t>
        </is>
      </c>
      <c r="G70" t="inlineStr">
        <is>
          <t>Common</t>
        </is>
      </c>
      <c r="H70" t="inlineStr">
        <is>
          <t>TLA</t>
        </is>
      </c>
      <c r="I70" t="inlineStr">
        <is>
          <t>2</t>
        </is>
      </c>
      <c r="J70">
        <f>IMAGE("https://api.scryfall.com/cards/named?exact=Raucous%20Audience&amp;format=image&amp;version=normal")</f>
        <v/>
      </c>
      <c r="K70" t="inlineStr">
        <is>
          <t>$0.11</t>
        </is>
      </c>
      <c r="L70" t="inlineStr">
        <is>
          <t>{T}: Add {G}. If you control a creature with power 4 or greater, add {G}{G} instead.</t>
        </is>
      </c>
    </row>
    <row r="71" ht="270" customHeight="1">
      <c r="A71" t="inlineStr">
        <is>
          <t>1</t>
        </is>
      </c>
      <c r="B71" t="inlineStr">
        <is>
          <t>Return of the Wildspeaker</t>
        </is>
      </c>
      <c r="C71" t="b">
        <v>0</v>
      </c>
      <c r="D71" t="b">
        <v>0</v>
      </c>
      <c r="E71" t="inlineStr"/>
      <c r="F71" t="inlineStr">
        <is>
          <t>Card Advantage</t>
        </is>
      </c>
      <c r="G71" t="inlineStr">
        <is>
          <t>Rare</t>
        </is>
      </c>
      <c r="H71" t="inlineStr">
        <is>
          <t>ECC</t>
        </is>
      </c>
      <c r="I71" t="inlineStr">
        <is>
          <t>5</t>
        </is>
      </c>
      <c r="J71">
        <f>IMAGE("https://api.scryfall.com/cards/named?exact=Return%20of%20the%20Wildspeaker&amp;format=image&amp;version=normal")</f>
        <v/>
      </c>
      <c r="K71" t="inlineStr">
        <is>
          <t>$0.77</t>
        </is>
      </c>
      <c r="L71" t="inlineStr">
        <is>
          <t>Choose one — • Draw cards equal to the greatest power among non-Human creatures you control. • Non-Human creatures you control get +3/+3 until end of turn.</t>
        </is>
      </c>
    </row>
    <row r="72" ht="270" customHeight="1">
      <c r="A72" t="inlineStr">
        <is>
          <t>1</t>
        </is>
      </c>
      <c r="B72" t="inlineStr">
        <is>
          <t>Return to Nature</t>
        </is>
      </c>
      <c r="C72" t="b">
        <v>0</v>
      </c>
      <c r="D72" t="b">
        <v>0</v>
      </c>
      <c r="E72" t="inlineStr"/>
      <c r="F72" t="inlineStr">
        <is>
          <t>Interaction</t>
        </is>
      </c>
      <c r="G72" t="inlineStr">
        <is>
          <t>Common</t>
        </is>
      </c>
      <c r="H72" t="inlineStr">
        <is>
          <t>PLST</t>
        </is>
      </c>
      <c r="I72" t="inlineStr">
        <is>
          <t>2</t>
        </is>
      </c>
      <c r="J72">
        <f>IMAGE("https://api.scryfall.com/cards/named?exact=Return%20to%20Nature&amp;format=image&amp;version=normal")</f>
        <v/>
      </c>
      <c r="K72" t="inlineStr">
        <is>
          <t>$0.20</t>
        </is>
      </c>
      <c r="L72" t="inlineStr">
        <is>
          <t>Choose one — • Destroy target artifact. • Destroy target enchantment. • Exile target card from a graveyard.</t>
        </is>
      </c>
    </row>
    <row r="73" ht="270" customHeight="1">
      <c r="A73" t="inlineStr">
        <is>
          <t>1</t>
        </is>
      </c>
      <c r="B73" t="inlineStr">
        <is>
          <t>Rishkar's Expertise</t>
        </is>
      </c>
      <c r="C73" t="b">
        <v>0</v>
      </c>
      <c r="D73" t="b">
        <v>0</v>
      </c>
      <c r="E73" t="inlineStr"/>
      <c r="F73" t="inlineStr">
        <is>
          <t>Card Advantage</t>
        </is>
      </c>
      <c r="G73" t="inlineStr">
        <is>
          <t>Rare</t>
        </is>
      </c>
      <c r="H73" t="inlineStr">
        <is>
          <t>PW25</t>
        </is>
      </c>
      <c r="I73" t="inlineStr">
        <is>
          <t>6</t>
        </is>
      </c>
      <c r="J73">
        <f>IMAGE("https://api.scryfall.com/cards/named?exact=Rishkar%27s%20Expertise&amp;format=image&amp;version=normal")</f>
        <v/>
      </c>
      <c r="K73" t="inlineStr">
        <is>
          <t>$2.29</t>
        </is>
      </c>
      <c r="L73" t="inlineStr">
        <is>
          <t>Draw cards equal to the greatest power among creatures you control. You may cast a spell with mana value 5 or less from your hand without paying its mana cost.</t>
        </is>
      </c>
    </row>
    <row r="74" ht="270" customHeight="1">
      <c r="A74" t="inlineStr">
        <is>
          <t>1</t>
        </is>
      </c>
      <c r="B74" t="inlineStr">
        <is>
          <t>Rumbling Baloth</t>
        </is>
      </c>
      <c r="C74" t="b">
        <v>0</v>
      </c>
      <c r="D74" t="b">
        <v>0</v>
      </c>
      <c r="E74" t="inlineStr"/>
      <c r="F74" t="inlineStr">
        <is>
          <t>On Theme</t>
        </is>
      </c>
      <c r="G74" t="inlineStr">
        <is>
          <t>Common</t>
        </is>
      </c>
      <c r="H74" t="inlineStr">
        <is>
          <t>JMP</t>
        </is>
      </c>
      <c r="I74" t="inlineStr">
        <is>
          <t>4</t>
        </is>
      </c>
      <c r="J74">
        <f>IMAGE("https://api.scryfall.com/cards/named?exact=Rumbling%20Baloth&amp;format=image&amp;version=normal")</f>
        <v/>
      </c>
      <c r="K74" t="inlineStr">
        <is>
          <t>$0.17</t>
        </is>
      </c>
      <c r="L74" t="inlineStr"/>
    </row>
    <row r="75" ht="270" customHeight="1">
      <c r="A75" t="inlineStr">
        <is>
          <t>1</t>
        </is>
      </c>
      <c r="B75" t="inlineStr">
        <is>
          <t>Sandwurm Convergence</t>
        </is>
      </c>
      <c r="C75" t="b">
        <v>1</v>
      </c>
      <c r="D75" t="b">
        <v>1</v>
      </c>
      <c r="E75" t="inlineStr">
        <is>
          <t>Slow control engine; replace with faster finishers/draw.</t>
        </is>
      </c>
      <c r="F75" t="inlineStr">
        <is>
          <t>On Theme</t>
        </is>
      </c>
      <c r="G75" t="inlineStr">
        <is>
          <t>Rare</t>
        </is>
      </c>
      <c r="H75" t="inlineStr">
        <is>
          <t>DSC</t>
        </is>
      </c>
      <c r="I75" t="inlineStr">
        <is>
          <t>8</t>
        </is>
      </c>
      <c r="J75">
        <f>IMAGE("https://api.scryfall.com/cards/named?exact=Sandwurm%20Convergence&amp;format=image&amp;version=normal")</f>
        <v/>
      </c>
      <c r="K75" t="inlineStr">
        <is>
          <t>$0.36</t>
        </is>
      </c>
      <c r="L75" t="inlineStr">
        <is>
          <t>Creatures with flying can't attack you or planeswalkers you control. At the beginning of your end step, create a 5/5 green Wurm creature token.</t>
        </is>
      </c>
    </row>
    <row r="76" ht="270" customHeight="1">
      <c r="A76" t="inlineStr">
        <is>
          <t>1</t>
        </is>
      </c>
      <c r="B76" t="inlineStr">
        <is>
          <t>Savannah Lions</t>
        </is>
      </c>
      <c r="C76" t="b">
        <v>1</v>
      </c>
      <c r="D76" t="b">
        <v>0</v>
      </c>
      <c r="E76" t="inlineStr"/>
      <c r="F76" t="inlineStr">
        <is>
          <t>On Theme</t>
        </is>
      </c>
      <c r="G76" t="inlineStr">
        <is>
          <t>Common</t>
        </is>
      </c>
      <c r="H76" t="inlineStr">
        <is>
          <t>J25</t>
        </is>
      </c>
      <c r="I76" t="inlineStr">
        <is>
          <t>1</t>
        </is>
      </c>
      <c r="J76">
        <f>IMAGE("https://api.scryfall.com/cards/named?exact=Savannah%20Lions&amp;format=image&amp;version=normal")</f>
        <v/>
      </c>
      <c r="K76" t="inlineStr">
        <is>
          <t>$0.09</t>
        </is>
      </c>
      <c r="L76" t="inlineStr"/>
    </row>
    <row r="77" ht="270" customHeight="1">
      <c r="A77" t="inlineStr">
        <is>
          <t>1</t>
        </is>
      </c>
      <c r="B77" t="inlineStr">
        <is>
          <t>Scale Up</t>
        </is>
      </c>
      <c r="C77" t="b">
        <v>1</v>
      </c>
      <c r="D77" t="b">
        <v>0</v>
      </c>
      <c r="E77" t="inlineStr"/>
      <c r="F77" t="inlineStr">
        <is>
          <t>On Theme</t>
        </is>
      </c>
      <c r="G77" t="inlineStr">
        <is>
          <t>Uncommon</t>
        </is>
      </c>
      <c r="H77" t="inlineStr">
        <is>
          <t>PLST</t>
        </is>
      </c>
      <c r="I77" t="inlineStr">
        <is>
          <t>1</t>
        </is>
      </c>
      <c r="J77">
        <f>IMAGE("https://api.scryfall.com/cards/named?exact=Scale%20Up&amp;format=image&amp;version=normal")</f>
        <v/>
      </c>
      <c r="K77" t="inlineStr">
        <is>
          <t>$0.47</t>
        </is>
      </c>
      <c r="L77" t="inlineStr">
        <is>
          <t>Until end of turn, target creature you control becomes a green Wurm with base power and toughness 6/4. Overload {4}{G}{G} (You may cast this spell for its overload cost. If you do, change "target" in its text to "each.")</t>
        </is>
      </c>
    </row>
    <row r="78" ht="270" customHeight="1">
      <c r="A78" t="inlineStr">
        <is>
          <t>1</t>
        </is>
      </c>
      <c r="B78" t="inlineStr">
        <is>
          <t>Scale the Heights</t>
        </is>
      </c>
      <c r="C78" t="b">
        <v>1</v>
      </c>
      <c r="D78" t="b">
        <v>0</v>
      </c>
      <c r="E78" t="inlineStr"/>
      <c r="F78" t="inlineStr">
        <is>
          <t>Card Advantage</t>
        </is>
      </c>
      <c r="G78" t="inlineStr">
        <is>
          <t>Common</t>
        </is>
      </c>
      <c r="H78" t="inlineStr">
        <is>
          <t>J22</t>
        </is>
      </c>
      <c r="I78" t="inlineStr">
        <is>
          <t>3</t>
        </is>
      </c>
      <c r="J78">
        <f>IMAGE("https://api.scryfall.com/cards/named?exact=Scale%20the%20Heights&amp;format=image&amp;version=normal")</f>
        <v/>
      </c>
      <c r="K78" t="inlineStr">
        <is>
          <t>$0.21</t>
        </is>
      </c>
      <c r="L78" t="inlineStr">
        <is>
          <t>Put a +1/+1 counter on up to one target creature. You gain 2 life. You may play an additional land this turn. Draw a card.</t>
        </is>
      </c>
    </row>
    <row r="79" ht="270" customHeight="1">
      <c r="A79" t="inlineStr">
        <is>
          <t>1</t>
        </is>
      </c>
      <c r="B79" t="inlineStr">
        <is>
          <t>Selesnya Signet</t>
        </is>
      </c>
      <c r="C79" t="b">
        <v>1</v>
      </c>
      <c r="D79" t="b">
        <v>0</v>
      </c>
      <c r="E79" t="inlineStr"/>
      <c r="F79" t="inlineStr">
        <is>
          <t>Ramp</t>
        </is>
      </c>
      <c r="G79" t="inlineStr">
        <is>
          <t>Common</t>
        </is>
      </c>
      <c r="H79" t="inlineStr">
        <is>
          <t>TDC</t>
        </is>
      </c>
      <c r="I79" t="inlineStr">
        <is>
          <t>2</t>
        </is>
      </c>
      <c r="J79">
        <f>IMAGE("https://api.scryfall.com/cards/named?exact=Selesnya%20Signet&amp;format=image&amp;version=normal")</f>
        <v/>
      </c>
      <c r="K79" t="inlineStr">
        <is>
          <t>$0.43</t>
        </is>
      </c>
      <c r="L79" t="inlineStr">
        <is>
          <t>{1}, {T}: Add {G}{W}.</t>
        </is>
      </c>
    </row>
    <row r="80" ht="270" customHeight="1">
      <c r="A80" t="inlineStr">
        <is>
          <t>1</t>
        </is>
      </c>
      <c r="B80" t="inlineStr">
        <is>
          <t>Serra's Blessing</t>
        </is>
      </c>
      <c r="C80" t="b">
        <v>1</v>
      </c>
      <c r="D80" t="b">
        <v>1</v>
      </c>
      <c r="E80" t="inlineStr">
        <is>
          <t>Ability-granting enchantment; lower impact than draw/removal.</t>
        </is>
      </c>
      <c r="F80" t="inlineStr">
        <is>
          <t>On Theme</t>
        </is>
      </c>
      <c r="G80" t="inlineStr">
        <is>
          <t>Uncommon</t>
        </is>
      </c>
      <c r="H80" t="inlineStr">
        <is>
          <t>9ED</t>
        </is>
      </c>
      <c r="I80" t="inlineStr">
        <is>
          <t>2</t>
        </is>
      </c>
      <c r="J80">
        <f>IMAGE("https://api.scryfall.com/cards/named?exact=Serra%27s%20Blessing&amp;format=image&amp;version=normal")</f>
        <v/>
      </c>
      <c r="K80" t="inlineStr"/>
      <c r="L80" t="inlineStr">
        <is>
          <t>Creatures you control have vigilance. (Attacking doesn't cause them to tap.)</t>
        </is>
      </c>
    </row>
    <row r="81" ht="270" customHeight="1">
      <c r="A81" t="inlineStr">
        <is>
          <t>1</t>
        </is>
      </c>
      <c r="B81" t="inlineStr">
        <is>
          <t>Starfall Invocation</t>
        </is>
      </c>
      <c r="C81" t="b">
        <v>1</v>
      </c>
      <c r="D81" t="b">
        <v>0</v>
      </c>
      <c r="E81" t="inlineStr"/>
      <c r="F81" t="inlineStr">
        <is>
          <t>Wrath</t>
        </is>
      </c>
      <c r="G81" t="inlineStr">
        <is>
          <t>Rare</t>
        </is>
      </c>
      <c r="H81" t="inlineStr">
        <is>
          <t>BLB</t>
        </is>
      </c>
      <c r="I81" t="inlineStr">
        <is>
          <t>5</t>
        </is>
      </c>
      <c r="J81">
        <f>IMAGE("https://api.scryfall.com/cards/named?exact=Starfall%20Invocation&amp;format=image&amp;version=normal")</f>
        <v/>
      </c>
      <c r="K81" t="inlineStr">
        <is>
          <t>$1.09</t>
        </is>
      </c>
      <c r="L81" t="inlineStr">
        <is>
          <t>Gift a card (You may promise an opponent a gift as you cast this spell. If you do, they draw a card before its other effects.) Destroy all creatures. If the gift was promised, return a creature card put into your graveyard this way to the battlefield under your control.</t>
        </is>
      </c>
    </row>
    <row r="82" ht="270" customHeight="1">
      <c r="A82" t="inlineStr">
        <is>
          <t>1</t>
        </is>
      </c>
      <c r="B82" t="inlineStr">
        <is>
          <t>Suburban Sanctuary</t>
        </is>
      </c>
      <c r="C82" t="b">
        <v>1</v>
      </c>
      <c r="D82" t="b">
        <v>0</v>
      </c>
      <c r="E82" t="inlineStr"/>
      <c r="F82" t="inlineStr">
        <is>
          <t>Lands</t>
        </is>
      </c>
      <c r="G82" t="inlineStr">
        <is>
          <t>Common</t>
        </is>
      </c>
      <c r="H82" t="inlineStr">
        <is>
          <t>SPM</t>
        </is>
      </c>
      <c r="I82" t="inlineStr">
        <is>
          <t>0</t>
        </is>
      </c>
      <c r="J82">
        <f>IMAGE("https://api.scryfall.com/cards/named?exact=Suburban%20Sanctuary&amp;format=image&amp;version=normal")</f>
        <v/>
      </c>
      <c r="K82" t="inlineStr">
        <is>
          <t>$0.16</t>
        </is>
      </c>
      <c r="L82" t="inlineStr">
        <is>
          <t>This land enters tapped. {T}: Add {G} or {W}. {4}, {T}: Surveil 1. (Look at the top card of your library. You may put it into your graveyard.)</t>
        </is>
      </c>
    </row>
    <row r="83" ht="270" customHeight="1">
      <c r="A83" t="inlineStr">
        <is>
          <t>1</t>
        </is>
      </c>
      <c r="B83" t="inlineStr">
        <is>
          <t>Sundial, Dawn Tyrant</t>
        </is>
      </c>
      <c r="C83" t="b">
        <v>1</v>
      </c>
      <c r="D83" t="b">
        <v>1</v>
      </c>
      <c r="E83" t="inlineStr">
        <is>
          <t>Creature with abilities; replace with vanilla pressure.</t>
        </is>
      </c>
      <c r="F83" t="inlineStr">
        <is>
          <t>On Theme</t>
        </is>
      </c>
      <c r="G83" t="inlineStr">
        <is>
          <t>Uncommon</t>
        </is>
      </c>
      <c r="H83" t="inlineStr">
        <is>
          <t>DFT</t>
        </is>
      </c>
      <c r="I83" t="inlineStr">
        <is>
          <t>2</t>
        </is>
      </c>
      <c r="J83">
        <f>IMAGE("https://api.scryfall.com/cards/named?exact=Sundial%2C%20Dawn%20Tyrant&amp;format=image&amp;version=normal")</f>
        <v/>
      </c>
      <c r="K83" t="inlineStr">
        <is>
          <t>$0.14</t>
        </is>
      </c>
      <c r="L83" t="inlineStr"/>
    </row>
    <row r="84" ht="270" customHeight="1">
      <c r="A84" t="inlineStr">
        <is>
          <t>1</t>
        </is>
      </c>
      <c r="B84" t="inlineStr">
        <is>
          <t>Swords to Plowshares</t>
        </is>
      </c>
      <c r="C84" t="b">
        <v>0</v>
      </c>
      <c r="D84" t="b">
        <v>0</v>
      </c>
      <c r="E84" t="inlineStr"/>
      <c r="F84" t="inlineStr">
        <is>
          <t>Interaction</t>
        </is>
      </c>
      <c r="G84" t="inlineStr">
        <is>
          <t>Rare</t>
        </is>
      </c>
      <c r="H84" t="inlineStr">
        <is>
          <t>SLD</t>
        </is>
      </c>
      <c r="I84" t="inlineStr">
        <is>
          <t>1</t>
        </is>
      </c>
      <c r="J84">
        <f>IMAGE("https://api.scryfall.com/cards/named?exact=Swords%20to%20Plowshares&amp;format=image&amp;version=normal")</f>
        <v/>
      </c>
      <c r="K84" t="inlineStr"/>
      <c r="L84" t="inlineStr">
        <is>
          <t>Exile target creature. Its controller gains life equal to its power.</t>
        </is>
      </c>
    </row>
    <row r="85" ht="270" customHeight="1">
      <c r="A85" t="inlineStr">
        <is>
          <t>1</t>
        </is>
      </c>
      <c r="B85" t="inlineStr">
        <is>
          <t>Thornhide Wolves</t>
        </is>
      </c>
      <c r="C85" t="b">
        <v>1</v>
      </c>
      <c r="D85" t="b">
        <v>0</v>
      </c>
      <c r="E85" t="inlineStr"/>
      <c r="F85" t="inlineStr">
        <is>
          <t>On Theme</t>
        </is>
      </c>
      <c r="G85" t="inlineStr">
        <is>
          <t>Common</t>
        </is>
      </c>
      <c r="H85" t="inlineStr">
        <is>
          <t>PLST</t>
        </is>
      </c>
      <c r="I85" t="inlineStr">
        <is>
          <t>5</t>
        </is>
      </c>
      <c r="J85">
        <f>IMAGE("https://api.scryfall.com/cards/named?exact=Thornhide%20Wolves&amp;format=image&amp;version=normal")</f>
        <v/>
      </c>
      <c r="K85" t="inlineStr">
        <is>
          <t>$0.18</t>
        </is>
      </c>
      <c r="L85" t="inlineStr"/>
    </row>
    <row r="86" ht="270" customHeight="1">
      <c r="A86" t="inlineStr">
        <is>
          <t>1</t>
        </is>
      </c>
      <c r="B86" t="inlineStr">
        <is>
          <t>Three Visits</t>
        </is>
      </c>
      <c r="C86" t="b">
        <v>1</v>
      </c>
      <c r="D86" t="b">
        <v>0</v>
      </c>
      <c r="E86" t="inlineStr"/>
      <c r="F86" t="inlineStr">
        <is>
          <t>Ramp</t>
        </is>
      </c>
      <c r="G86" t="inlineStr">
        <is>
          <t>Uncommon</t>
        </is>
      </c>
      <c r="H86" t="inlineStr">
        <is>
          <t>SOC</t>
        </is>
      </c>
      <c r="I86" t="inlineStr">
        <is>
          <t>2</t>
        </is>
      </c>
      <c r="J86">
        <f>IMAGE("https://api.scryfall.com/cards/named?exact=Three%20Visits&amp;format=image&amp;version=normal")</f>
        <v/>
      </c>
      <c r="K86" t="inlineStr">
        <is>
          <t>$5.51</t>
        </is>
      </c>
      <c r="L86" t="inlineStr">
        <is>
          <t>Search your library for a Forest card, put it onto the battlefield, then shuffle.</t>
        </is>
      </c>
    </row>
    <row r="87" ht="270" customHeight="1">
      <c r="A87" t="inlineStr">
        <is>
          <t>2</t>
        </is>
      </c>
      <c r="B87" t="inlineStr">
        <is>
          <t>Thriving Grove</t>
        </is>
      </c>
      <c r="C87" t="b">
        <v>1</v>
      </c>
      <c r="D87" t="b">
        <v>0</v>
      </c>
      <c r="E87" t="inlineStr"/>
      <c r="F87" t="inlineStr">
        <is>
          <t>Lands</t>
        </is>
      </c>
      <c r="G87" t="inlineStr">
        <is>
          <t>Common</t>
        </is>
      </c>
      <c r="H87" t="inlineStr">
        <is>
          <t>TMC</t>
        </is>
      </c>
      <c r="I87" t="inlineStr">
        <is>
          <t>0</t>
        </is>
      </c>
      <c r="J87">
        <f>IMAGE("https://api.scryfall.com/cards/named?exact=Thriving%20Grove&amp;format=image&amp;version=normal")</f>
        <v/>
      </c>
      <c r="K87" t="inlineStr">
        <is>
          <t>$0.26</t>
        </is>
      </c>
      <c r="L87" t="inlineStr">
        <is>
          <t>This land enters tapped. As it enters, choose a color other than green. {T}: Add {G} or one mana of the chosen color.</t>
        </is>
      </c>
    </row>
    <row r="88" ht="270" customHeight="1">
      <c r="A88" t="inlineStr">
        <is>
          <t>1</t>
        </is>
      </c>
      <c r="B88" t="inlineStr">
        <is>
          <t>Thriving Heath</t>
        </is>
      </c>
      <c r="C88" t="b">
        <v>1</v>
      </c>
      <c r="D88" t="b">
        <v>0</v>
      </c>
      <c r="E88" t="inlineStr"/>
      <c r="F88" t="inlineStr">
        <is>
          <t>Lands</t>
        </is>
      </c>
      <c r="G88" t="inlineStr">
        <is>
          <t>Common</t>
        </is>
      </c>
      <c r="H88" t="inlineStr">
        <is>
          <t>ECC</t>
        </is>
      </c>
      <c r="I88" t="inlineStr">
        <is>
          <t>0</t>
        </is>
      </c>
      <c r="J88">
        <f>IMAGE("https://api.scryfall.com/cards/named?exact=Thriving%20Heath&amp;format=image&amp;version=normal")</f>
        <v/>
      </c>
      <c r="K88" t="inlineStr">
        <is>
          <t>$0.24</t>
        </is>
      </c>
      <c r="L88" t="inlineStr">
        <is>
          <t>This land enters tapped. As it enters, choose a color other than white. {T}: Add {W} or one mana of the chosen color.</t>
        </is>
      </c>
    </row>
    <row r="89" ht="270" customHeight="1">
      <c r="A89" t="inlineStr">
        <is>
          <t>1</t>
        </is>
      </c>
      <c r="B89" t="inlineStr">
        <is>
          <t>Titanic Growth</t>
        </is>
      </c>
      <c r="C89" t="b">
        <v>1</v>
      </c>
      <c r="D89" t="b">
        <v>0</v>
      </c>
      <c r="E89" t="inlineStr"/>
      <c r="F89" t="inlineStr">
        <is>
          <t>Interaction</t>
        </is>
      </c>
      <c r="G89" t="inlineStr">
        <is>
          <t>Common</t>
        </is>
      </c>
      <c r="H89" t="inlineStr">
        <is>
          <t>WOE</t>
        </is>
      </c>
      <c r="I89" t="inlineStr">
        <is>
          <t>2</t>
        </is>
      </c>
      <c r="J89">
        <f>IMAGE("https://api.scryfall.com/cards/named?exact=Titanic%20Growth&amp;format=image&amp;version=normal")</f>
        <v/>
      </c>
      <c r="K89" t="inlineStr">
        <is>
          <t>$0.27</t>
        </is>
      </c>
      <c r="L89" t="inlineStr">
        <is>
          <t>Target creature gets +4/+4 until end of turn.</t>
        </is>
      </c>
    </row>
    <row r="90" ht="270" customHeight="1">
      <c r="A90" t="inlineStr">
        <is>
          <t>1</t>
        </is>
      </c>
      <c r="B90" t="inlineStr">
        <is>
          <t>Toski, Bearer of Secrets</t>
        </is>
      </c>
      <c r="C90" t="b">
        <v>1</v>
      </c>
      <c r="D90" t="b">
        <v>1</v>
      </c>
      <c r="E90" t="inlineStr">
        <is>
          <t>Strong but off-theme; swap for vanilla bodies and spell-based draw.</t>
        </is>
      </c>
      <c r="F90" t="inlineStr">
        <is>
          <t>On Theme</t>
        </is>
      </c>
      <c r="G90" t="inlineStr">
        <is>
          <t>Mythic</t>
        </is>
      </c>
      <c r="H90" t="inlineStr">
        <is>
          <t>SLD</t>
        </is>
      </c>
      <c r="I90" t="inlineStr">
        <is>
          <t>4</t>
        </is>
      </c>
      <c r="J90">
        <f>IMAGE("https://api.scryfall.com/cards/named?exact=Toski%2C%20Bearer%20of%20Secrets&amp;format=image&amp;version=normal")</f>
        <v/>
      </c>
      <c r="K90" t="inlineStr">
        <is>
          <t>$5.37</t>
        </is>
      </c>
      <c r="L90" t="inlineStr">
        <is>
          <t>This spell can't be countered. Indestructible Toski attacks each combat if able. Whenever a creature you control deals combat damage to a player, draw a card.</t>
        </is>
      </c>
    </row>
    <row r="91" ht="270" customHeight="1">
      <c r="A91" t="inlineStr">
        <is>
          <t>1</t>
        </is>
      </c>
      <c r="B91" t="inlineStr">
        <is>
          <t>Vorstclaw</t>
        </is>
      </c>
      <c r="C91" t="b">
        <v>1</v>
      </c>
      <c r="D91" t="b">
        <v>1</v>
      </c>
      <c r="E91" t="inlineStr">
        <is>
          <t>High MV vanilla with low impact; upgrade curve.</t>
        </is>
      </c>
      <c r="F91" t="inlineStr">
        <is>
          <t>On Theme</t>
        </is>
      </c>
      <c r="G91" t="inlineStr">
        <is>
          <t>Common</t>
        </is>
      </c>
      <c r="H91" t="inlineStr">
        <is>
          <t>M20</t>
        </is>
      </c>
      <c r="I91" t="inlineStr">
        <is>
          <t>6</t>
        </is>
      </c>
      <c r="J91">
        <f>IMAGE("https://api.scryfall.com/cards/named?exact=Vorstclaw&amp;format=image&amp;version=normal")</f>
        <v/>
      </c>
      <c r="K91" t="inlineStr">
        <is>
          <t>$0.27</t>
        </is>
      </c>
      <c r="L91" t="inlineStr"/>
    </row>
    <row r="92" ht="270" customHeight="1">
      <c r="A92" t="inlineStr">
        <is>
          <t>1</t>
        </is>
      </c>
      <c r="B92" t="inlineStr">
        <is>
          <t>Watchwolf</t>
        </is>
      </c>
      <c r="C92" t="b">
        <v>1</v>
      </c>
      <c r="D92" t="b">
        <v>0</v>
      </c>
      <c r="E92" t="inlineStr"/>
      <c r="F92" t="inlineStr">
        <is>
          <t>On Theme</t>
        </is>
      </c>
      <c r="G92" t="inlineStr">
        <is>
          <t>Uncommon</t>
        </is>
      </c>
      <c r="H92" t="inlineStr">
        <is>
          <t>GK1</t>
        </is>
      </c>
      <c r="I92" t="inlineStr">
        <is>
          <t>2</t>
        </is>
      </c>
      <c r="J92">
        <f>IMAGE("https://api.scryfall.com/cards/named?exact=Watchwolf&amp;format=image&amp;version=normal")</f>
        <v/>
      </c>
      <c r="K92" t="inlineStr">
        <is>
          <t>$0.31</t>
        </is>
      </c>
      <c r="L92" t="inlineStr"/>
    </row>
    <row r="93" ht="270" customHeight="1">
      <c r="A93" t="inlineStr">
        <is>
          <t>1</t>
        </is>
      </c>
      <c r="B93" t="inlineStr">
        <is>
          <t>Wildest Dreams</t>
        </is>
      </c>
      <c r="C93" t="b">
        <v>1</v>
      </c>
      <c r="D93" t="b">
        <v>0</v>
      </c>
      <c r="E93" t="inlineStr"/>
      <c r="F93" t="inlineStr">
        <is>
          <t>Card Advantage</t>
        </is>
      </c>
      <c r="G93" t="inlineStr">
        <is>
          <t>Rare</t>
        </is>
      </c>
      <c r="H93" t="inlineStr">
        <is>
          <t>PKLD</t>
        </is>
      </c>
      <c r="I93" t="inlineStr">
        <is>
          <t>1</t>
        </is>
      </c>
      <c r="J93">
        <f>IMAGE("https://api.scryfall.com/cards/named?exact=Wildest%20Dreams&amp;format=image&amp;version=normal")</f>
        <v/>
      </c>
      <c r="K93" t="inlineStr"/>
      <c r="L93" t="inlineStr">
        <is>
          <t>Return X target cards from your graveyard to your hand. Exile Wildest Dreams.</t>
        </is>
      </c>
    </row>
    <row r="94" ht="270" customHeight="1">
      <c r="A94" t="inlineStr">
        <is>
          <t>1</t>
        </is>
      </c>
      <c r="B94" t="inlineStr">
        <is>
          <t>Zimone's Experiment</t>
        </is>
      </c>
      <c r="C94" t="b">
        <v>1</v>
      </c>
      <c r="D94" t="b">
        <v>0</v>
      </c>
      <c r="E94" t="inlineStr"/>
      <c r="F94" t="inlineStr">
        <is>
          <t>Card Advantage</t>
        </is>
      </c>
      <c r="G94" t="inlineStr">
        <is>
          <t>Uncommon</t>
        </is>
      </c>
      <c r="H94" t="inlineStr">
        <is>
          <t>SOS</t>
        </is>
      </c>
      <c r="I94" t="inlineStr">
        <is>
          <t>4</t>
        </is>
      </c>
      <c r="J94">
        <f>IMAGE("https://api.scryfall.com/cards/named?exact=Zimone%27s%20Experiment&amp;format=image&amp;version=normal")</f>
        <v/>
      </c>
      <c r="K94" t="inlineStr">
        <is>
          <t>$0.23</t>
        </is>
      </c>
      <c r="L94" t="inlineStr">
        <is>
          <t>Look at the top five cards of your library. You may reveal up to two creature and/or land cards from among them, then put the rest on the bottom of your library in a random order. Put all land cards revealed this way onto the battlefield tapped and put all creature cards revealed this way into your hand.</t>
        </is>
      </c>
    </row>
    <row r="95" ht="270" customHeight="1">
      <c r="A95" t="inlineStr">
        <is>
          <t>1</t>
        </is>
      </c>
      <c r="B95" t="inlineStr">
        <is>
          <t>Zopandrel, Hunger Dominus</t>
        </is>
      </c>
      <c r="C95" t="b">
        <v>1</v>
      </c>
      <c r="D95" t="b">
        <v>0</v>
      </c>
      <c r="E95" t="inlineStr"/>
      <c r="F95" t="inlineStr">
        <is>
          <t>On Theme</t>
        </is>
      </c>
      <c r="G95" t="inlineStr">
        <is>
          <t>Mythic</t>
        </is>
      </c>
      <c r="H95" t="inlineStr">
        <is>
          <t>PONE</t>
        </is>
      </c>
      <c r="I95" t="inlineStr">
        <is>
          <t>7</t>
        </is>
      </c>
      <c r="J95">
        <f>IMAGE("https://api.scryfall.com/cards/named?exact=Zopandrel%2C%20Hunger%20Dominus&amp;format=image&amp;version=normal")</f>
        <v/>
      </c>
      <c r="K95" t="inlineStr">
        <is>
          <t>$12.46</t>
        </is>
      </c>
      <c r="L95" t="inlineStr">
        <is>
          <t>Reach At the beginning of each combat, double the power and toughness of each creature you control until end of turn. {G/P}{G/P}, Sacrifice two other creatures: Put an indestructible counter on Zopandrel. ({G/P} can be paid with either {G} or 2 life.)</t>
        </is>
      </c>
    </row>
    <row r="97">
      <c r="A97" t="inlineStr">
        <is>
          <t>Total Cost (Have Physical Copy = false)</t>
        </is>
      </c>
      <c r="K97" s="2">
        <f>SUMPRODUCT(--(LOWER(TEXT($C$2:$C$95,"@"))="false"),IFERROR(VALUE(SUBSTITUTE($K$2:$K$95,"$","")),0))</f>
        <v/>
      </c>
    </row>
  </sheetData>
  <conditionalFormatting sqref="C2:C95">
    <cfRule type="expression" priority="1" dxfId="0">
      <formula>=OR($C2=TRUE,LOWER(TEXT($C2,"@"))="true")</formula>
    </cfRule>
    <cfRule type="expression" priority="2" dxfId="1">
      <formula>=OR($C2=FALSE,LOWER(TEXT($C2,"@"))="false")</formula>
    </cfRule>
  </conditionalFormatting>
  <conditionalFormatting sqref="D2:D95">
    <cfRule type="expression" priority="3" dxfId="2">
      <formula>=OR($D2=TRUE,LOWER(TEXT($D2,"@"))="true")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Conditional formatting rules</t>
        </is>
      </c>
    </row>
    <row r="2">
      <c r="A2" t="inlineStr">
        <is>
          <t>Have Physical Copy: TRUE = green, FALSE = yellow</t>
        </is>
      </c>
    </row>
    <row r="3">
      <c r="A3" t="inlineStr">
        <is>
          <t>Cut: TRUE = red</t>
        </is>
      </c>
    </row>
    <row r="5">
      <c r="A5" t="inlineStr">
        <is>
          <t>Have Physical Copy formula (green)</t>
        </is>
      </c>
    </row>
    <row r="6">
      <c r="A6">
        <f>OR($C2=TRUE,LOWER(TEXT($C2,"@"))="true")</f>
        <v/>
      </c>
    </row>
    <row r="7">
      <c r="A7" t="inlineStr">
        <is>
          <t>Have Physical Copy formula (yellow)</t>
        </is>
      </c>
    </row>
    <row r="8">
      <c r="A8">
        <f>OR($C2=FALSE,LOWER(TEXT($C2,"@"))="false")</f>
        <v/>
      </c>
    </row>
    <row r="9">
      <c r="A9" t="inlineStr">
        <is>
          <t>Cut formula (red)</t>
        </is>
      </c>
    </row>
    <row r="10">
      <c r="A10">
        <f>OR($D2=TRUE,LOWER(TEXT($D2,"@"))="true")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2026-05-28T02:07:09Z</dcterms:created>
  <dcterms:modified xsi:type="dcterms:W3CDTF">2026-05-28T02:07:09Z</dcterms:modified>
</cp:coreProperties>
</file>