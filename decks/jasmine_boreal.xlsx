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k" sheetId="1" state="visible" r:id="rId1"/>
    <sheet name="Format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86" customWidth="1" min="1" max="1"/>
    <col width="16.86" customWidth="1" min="2" max="2"/>
    <col width="16.86" customWidth="1" min="3" max="3"/>
    <col width="16.86" customWidth="1" min="4" max="4"/>
    <col width="16.86" customWidth="1" min="5" max="5"/>
    <col width="16.86" customWidth="1" min="6" max="6"/>
    <col width="16.86" customWidth="1" min="7" max="7"/>
    <col width="16.86" customWidth="1" min="8" max="8"/>
    <col width="16.86" customWidth="1" min="9" max="9"/>
    <col width="101.16" customWidth="1" min="10" max="10"/>
    <col width="16.86" customWidth="1" min="11" max="11"/>
    <col width="16.86" customWidth="1" min="12" max="12"/>
  </cols>
  <sheetData>
    <row r="1">
      <c r="A1" s="1" t="inlineStr">
        <is>
          <t>Quantity</t>
        </is>
      </c>
      <c r="B1" s="1" t="inlineStr">
        <is>
          <t>Card Title</t>
        </is>
      </c>
      <c r="C1" s="1" t="inlineStr">
        <is>
          <t>Have Physical Copy</t>
        </is>
      </c>
      <c r="D1" s="1" t="inlineStr">
        <is>
          <t>Cut</t>
        </is>
      </c>
      <c r="E1" s="1" t="inlineStr">
        <is>
          <t>Cut Reason</t>
        </is>
      </c>
      <c r="F1" s="1" t="inlineStr">
        <is>
          <t>Deck Rule</t>
        </is>
      </c>
      <c r="G1" s="1" t="inlineStr">
        <is>
          <t>Rarity</t>
        </is>
      </c>
      <c r="H1" s="1" t="inlineStr">
        <is>
          <t>MTG Edition</t>
        </is>
      </c>
      <c r="I1" s="1" t="inlineStr">
        <is>
          <t>Mana Value</t>
        </is>
      </c>
      <c r="J1" s="1" t="inlineStr">
        <is>
          <t>Image</t>
        </is>
      </c>
      <c r="K1" s="1" t="inlineStr">
        <is>
          <t>Price</t>
        </is>
      </c>
      <c r="L1" s="1" t="inlineStr">
        <is>
          <t>Rule Text</t>
        </is>
      </c>
    </row>
    <row r="2" ht="270" customHeight="1">
      <c r="A2" t="inlineStr">
        <is>
          <t>1</t>
        </is>
      </c>
      <c r="B2" t="inlineStr">
        <is>
          <t>Abzan Beastmaster</t>
        </is>
      </c>
      <c r="C2" t="b">
        <v>1</v>
      </c>
      <c r="D2" t="b">
        <v>0</v>
      </c>
      <c r="E2" t="inlineStr"/>
      <c r="F2" t="inlineStr">
        <is>
          <t>Card Advantage</t>
        </is>
      </c>
      <c r="G2" t="inlineStr">
        <is>
          <t>Uncommon</t>
        </is>
      </c>
      <c r="H2" t="inlineStr">
        <is>
          <t>PLST</t>
        </is>
      </c>
      <c r="I2" t="inlineStr">
        <is>
          <t>3</t>
        </is>
      </c>
      <c r="J2">
        <f>IMAGE("https://api.scryfall.com/cards/named?exact=Abzan%20Beastmaster&amp;format=image&amp;version=normal")</f>
        <v/>
      </c>
      <c r="K2" t="inlineStr">
        <is>
          <t>$0.21</t>
        </is>
      </c>
      <c r="L2" t="inlineStr">
        <is>
          <t>At the beginning of your upkeep, draw a card if you control the creature with the greatest toughness or tied for the greatest toughness.</t>
        </is>
      </c>
    </row>
    <row r="3" ht="270" customHeight="1">
      <c r="A3" t="inlineStr">
        <is>
          <t>1</t>
        </is>
      </c>
      <c r="B3" t="inlineStr">
        <is>
          <t>Adventurer's Inn</t>
        </is>
      </c>
      <c r="C3" t="b">
        <v>1</v>
      </c>
      <c r="D3" t="b">
        <v>0</v>
      </c>
      <c r="E3" t="inlineStr"/>
      <c r="F3" t="inlineStr">
        <is>
          <t>Lands</t>
        </is>
      </c>
      <c r="G3" t="inlineStr">
        <is>
          <t>Common</t>
        </is>
      </c>
      <c r="H3" t="inlineStr">
        <is>
          <t>FIN</t>
        </is>
      </c>
      <c r="I3" t="inlineStr">
        <is>
          <t>0</t>
        </is>
      </c>
      <c r="J3">
        <f>IMAGE("https://api.scryfall.com/cards/named?exact=Adventurer%27s%20Inn&amp;format=image&amp;version=normal")</f>
        <v/>
      </c>
      <c r="K3" t="inlineStr">
        <is>
          <t>$0.23</t>
        </is>
      </c>
      <c r="L3" t="inlineStr">
        <is>
          <t>When this land enters, you gain 2 life. {T}: Add {C}.</t>
        </is>
      </c>
    </row>
    <row r="4" ht="270" customHeight="1">
      <c r="A4" t="inlineStr">
        <is>
          <t>1</t>
        </is>
      </c>
      <c r="B4" t="inlineStr">
        <is>
          <t>Alpine Grizzly</t>
        </is>
      </c>
      <c r="C4" t="b">
        <v>1</v>
      </c>
      <c r="D4" t="b">
        <v>0</v>
      </c>
      <c r="E4" t="inlineStr"/>
      <c r="F4" t="inlineStr">
        <is>
          <t>On Theme</t>
        </is>
      </c>
      <c r="G4" t="inlineStr">
        <is>
          <t>Common</t>
        </is>
      </c>
      <c r="H4" t="inlineStr">
        <is>
          <t>PLST</t>
        </is>
      </c>
      <c r="I4" t="inlineStr">
        <is>
          <t>3</t>
        </is>
      </c>
      <c r="J4">
        <f>IMAGE("https://api.scryfall.com/cards/named?exact=Alpine%20Grizzly&amp;format=image&amp;version=normal")</f>
        <v/>
      </c>
      <c r="K4" t="inlineStr">
        <is>
          <t>$0.41</t>
        </is>
      </c>
      <c r="L4" t="inlineStr"/>
    </row>
    <row r="5" ht="270" customHeight="1">
      <c r="A5" t="inlineStr">
        <is>
          <t>1</t>
        </is>
      </c>
      <c r="B5" t="inlineStr">
        <is>
          <t>Ancient Brontodon</t>
        </is>
      </c>
      <c r="C5" t="b">
        <v>1</v>
      </c>
      <c r="D5" t="b">
        <v>0</v>
      </c>
      <c r="E5" t="inlineStr"/>
      <c r="F5" t="inlineStr">
        <is>
          <t>On Theme</t>
        </is>
      </c>
      <c r="G5" t="inlineStr">
        <is>
          <t>Common</t>
        </is>
      </c>
      <c r="H5" t="inlineStr">
        <is>
          <t>PLST</t>
        </is>
      </c>
      <c r="I5" t="inlineStr">
        <is>
          <t>8</t>
        </is>
      </c>
      <c r="J5">
        <f>IMAGE("https://api.scryfall.com/cards/named?exact=Ancient%20Brontodon&amp;format=image&amp;version=normal")</f>
        <v/>
      </c>
      <c r="K5" t="inlineStr">
        <is>
          <t>$0.18</t>
        </is>
      </c>
      <c r="L5" t="inlineStr"/>
    </row>
    <row r="6" ht="270" customHeight="1">
      <c r="A6" t="inlineStr">
        <is>
          <t>1</t>
        </is>
      </c>
      <c r="B6" t="inlineStr">
        <is>
          <t>Arcane Signet</t>
        </is>
      </c>
      <c r="C6" t="b">
        <v>1</v>
      </c>
      <c r="D6" t="b">
        <v>0</v>
      </c>
      <c r="E6" t="inlineStr"/>
      <c r="F6" t="inlineStr">
        <is>
          <t>Ramp</t>
        </is>
      </c>
      <c r="G6" t="inlineStr">
        <is>
          <t>Uncommon</t>
        </is>
      </c>
      <c r="H6" t="inlineStr">
        <is>
          <t>MSC</t>
        </is>
      </c>
      <c r="I6" t="inlineStr">
        <is>
          <t>2</t>
        </is>
      </c>
      <c r="J6">
        <f>IMAGE("https://api.scryfall.com/cards/named?exact=Arcane%20Signet&amp;format=image&amp;version=normal")</f>
        <v/>
      </c>
      <c r="K6" t="inlineStr">
        <is>
          <t>$0.44</t>
        </is>
      </c>
      <c r="L6" t="inlineStr">
        <is>
          <t>{T}: Add one mana of any color in your commander's color identity.</t>
        </is>
      </c>
    </row>
    <row r="7" ht="270" customHeight="1">
      <c r="A7" t="inlineStr">
        <is>
          <t>1</t>
        </is>
      </c>
      <c r="B7" t="inlineStr">
        <is>
          <t>Austere Command</t>
        </is>
      </c>
      <c r="C7" t="b">
        <v>1</v>
      </c>
      <c r="D7" t="b">
        <v>0</v>
      </c>
      <c r="E7" t="inlineStr"/>
      <c r="F7" t="inlineStr">
        <is>
          <t>Wrath</t>
        </is>
      </c>
      <c r="G7" t="inlineStr">
        <is>
          <t>Rare</t>
        </is>
      </c>
      <c r="H7" t="inlineStr">
        <is>
          <t>MSC</t>
        </is>
      </c>
      <c r="I7" t="inlineStr">
        <is>
          <t>6</t>
        </is>
      </c>
      <c r="J7">
        <f>IMAGE("https://api.scryfall.com/cards/named?exact=Austere%20Command&amp;format=image&amp;version=normal")</f>
        <v/>
      </c>
      <c r="K7" t="inlineStr">
        <is>
          <t>$0.39</t>
        </is>
      </c>
      <c r="L7" t="inlineStr">
        <is>
          <t>Choose two — • Destroy all artifacts. • Destroy all enchantments. • Destroy all creatures with mana value 3 or less. • Destroy all creatures with mana value 4 or greater.</t>
        </is>
      </c>
    </row>
    <row r="8" ht="270" customHeight="1">
      <c r="A8" t="inlineStr">
        <is>
          <t>1</t>
        </is>
      </c>
      <c r="B8" t="inlineStr">
        <is>
          <t>Beast Whisperer</t>
        </is>
      </c>
      <c r="C8" t="b">
        <v>1</v>
      </c>
      <c r="D8" t="b">
        <v>0</v>
      </c>
      <c r="E8" t="inlineStr"/>
      <c r="F8" t="inlineStr">
        <is>
          <t>Card Advantage</t>
        </is>
      </c>
      <c r="G8" t="inlineStr">
        <is>
          <t>Rare</t>
        </is>
      </c>
      <c r="H8" t="inlineStr">
        <is>
          <t>CLU</t>
        </is>
      </c>
      <c r="I8" t="inlineStr">
        <is>
          <t>4</t>
        </is>
      </c>
      <c r="J8">
        <f>IMAGE("https://api.scryfall.com/cards/named?exact=Beast%20Whisperer&amp;format=image&amp;version=normal")</f>
        <v/>
      </c>
      <c r="K8" t="inlineStr">
        <is>
          <t>$7.99</t>
        </is>
      </c>
      <c r="L8" t="inlineStr">
        <is>
          <t>Whenever you cast a creature spell, draw a card.</t>
        </is>
      </c>
    </row>
    <row r="9" ht="270" customHeight="1">
      <c r="A9" t="inlineStr">
        <is>
          <t>1</t>
        </is>
      </c>
      <c r="B9" t="inlineStr">
        <is>
          <t>Blossoming Sands</t>
        </is>
      </c>
      <c r="C9" t="b">
        <v>1</v>
      </c>
      <c r="D9" t="b">
        <v>0</v>
      </c>
      <c r="E9" t="inlineStr"/>
      <c r="F9" t="inlineStr">
        <is>
          <t>Lands</t>
        </is>
      </c>
      <c r="G9" t="inlineStr">
        <is>
          <t>Common</t>
        </is>
      </c>
      <c r="H9" t="inlineStr">
        <is>
          <t>TDM</t>
        </is>
      </c>
      <c r="I9" t="inlineStr">
        <is>
          <t>0</t>
        </is>
      </c>
      <c r="J9">
        <f>IMAGE("https://api.scryfall.com/cards/named?exact=Blossoming%20Sands&amp;format=image&amp;version=normal")</f>
        <v/>
      </c>
      <c r="K9" t="inlineStr">
        <is>
          <t>$0.26</t>
        </is>
      </c>
      <c r="L9" t="inlineStr">
        <is>
          <t>This land enters tapped. When this land enters, you gain 1 life. {T}: Add {G} or {W}.</t>
        </is>
      </c>
    </row>
    <row r="10" ht="270" customHeight="1">
      <c r="A10" t="inlineStr">
        <is>
          <t>1</t>
        </is>
      </c>
      <c r="B10" t="inlineStr">
        <is>
          <t>Colossal Majesty</t>
        </is>
      </c>
      <c r="C10" t="b">
        <v>1</v>
      </c>
      <c r="D10" t="b">
        <v>0</v>
      </c>
      <c r="E10" t="inlineStr"/>
      <c r="F10" t="inlineStr">
        <is>
          <t>Card Advantage</t>
        </is>
      </c>
      <c r="G10" t="inlineStr">
        <is>
          <t>Uncommon</t>
        </is>
      </c>
      <c r="H10" t="inlineStr">
        <is>
          <t>CLU</t>
        </is>
      </c>
      <c r="I10" t="inlineStr">
        <is>
          <t>3</t>
        </is>
      </c>
      <c r="J10">
        <f>IMAGE("https://api.scryfall.com/cards/named?exact=Colossal%20Majesty&amp;format=image&amp;version=normal")</f>
        <v/>
      </c>
      <c r="K10" t="inlineStr">
        <is>
          <t>$1.54</t>
        </is>
      </c>
      <c r="L10" t="inlineStr">
        <is>
          <t>At the beginning of your upkeep, if you control a creature with power 4 or greater, draw a card.</t>
        </is>
      </c>
    </row>
    <row r="11" ht="270" customHeight="1">
      <c r="A11" t="inlineStr">
        <is>
          <t>1</t>
        </is>
      </c>
      <c r="B11" t="inlineStr">
        <is>
          <t>Colossodon Yearling</t>
        </is>
      </c>
      <c r="C11" t="b">
        <v>1</v>
      </c>
      <c r="D11" t="b">
        <v>0</v>
      </c>
      <c r="E11" t="inlineStr"/>
      <c r="F11" t="inlineStr">
        <is>
          <t>On Theme</t>
        </is>
      </c>
      <c r="G11" t="inlineStr">
        <is>
          <t>Common</t>
        </is>
      </c>
      <c r="H11" t="inlineStr">
        <is>
          <t>DTK</t>
        </is>
      </c>
      <c r="I11" t="inlineStr">
        <is>
          <t>3</t>
        </is>
      </c>
      <c r="J11">
        <f>IMAGE("https://api.scryfall.com/cards/named?exact=Colossodon%20Yearling&amp;format=image&amp;version=normal")</f>
        <v/>
      </c>
      <c r="K11" t="inlineStr">
        <is>
          <t>$0.10</t>
        </is>
      </c>
      <c r="L11" t="inlineStr"/>
    </row>
    <row r="12" ht="270" customHeight="1">
      <c r="A12" t="inlineStr">
        <is>
          <t>1</t>
        </is>
      </c>
      <c r="B12" t="inlineStr">
        <is>
          <t>Conclave Mentor</t>
        </is>
      </c>
      <c r="C12" t="b">
        <v>0</v>
      </c>
      <c r="D12" t="b">
        <v>0</v>
      </c>
      <c r="E12" t="inlineStr"/>
      <c r="F12" t="inlineStr">
        <is>
          <t>On Theme</t>
        </is>
      </c>
      <c r="G12" t="inlineStr">
        <is>
          <t>Uncommon</t>
        </is>
      </c>
      <c r="H12" t="inlineStr">
        <is>
          <t>PLST</t>
        </is>
      </c>
      <c r="I12" t="inlineStr">
        <is>
          <t>2</t>
        </is>
      </c>
      <c r="J12">
        <f>IMAGE("https://api.scryfall.com/cards/named?exact=Conclave%20Mentor&amp;format=image&amp;version=normal")</f>
        <v/>
      </c>
      <c r="K12" t="inlineStr">
        <is>
          <t>$0.39</t>
        </is>
      </c>
      <c r="L12" t="inlineStr">
        <is>
          <t>If one or more +1/+1 counters would be put on a creature you control, that many plus one +1/+1 counters are put on that creature instead. When this creature dies, you gain life equal to its power.</t>
        </is>
      </c>
    </row>
    <row r="13" ht="270" customHeight="1">
      <c r="A13" t="inlineStr">
        <is>
          <t>1</t>
        </is>
      </c>
      <c r="B13" t="inlineStr">
        <is>
          <t>Cowl Prowler</t>
        </is>
      </c>
      <c r="C13" t="b">
        <v>1</v>
      </c>
      <c r="D13" t="b">
        <v>0</v>
      </c>
      <c r="E13" t="inlineStr"/>
      <c r="F13" t="inlineStr">
        <is>
          <t>On Theme</t>
        </is>
      </c>
      <c r="G13" t="inlineStr">
        <is>
          <t>Common</t>
        </is>
      </c>
      <c r="H13" t="inlineStr">
        <is>
          <t>BBD</t>
        </is>
      </c>
      <c r="I13" t="inlineStr">
        <is>
          <t>6</t>
        </is>
      </c>
      <c r="J13">
        <f>IMAGE("https://api.scryfall.com/cards/named?exact=Cowl%20Prowler&amp;format=image&amp;version=normal")</f>
        <v/>
      </c>
      <c r="K13" t="inlineStr">
        <is>
          <t>$0.03</t>
        </is>
      </c>
      <c r="L13" t="inlineStr"/>
    </row>
    <row r="14" ht="270" customHeight="1">
      <c r="A14" t="inlineStr">
        <is>
          <t>1</t>
        </is>
      </c>
      <c r="B14" t="inlineStr">
        <is>
          <t>Crossroads Village</t>
        </is>
      </c>
      <c r="C14" t="b">
        <v>1</v>
      </c>
      <c r="D14" t="b">
        <v>0</v>
      </c>
      <c r="E14" t="inlineStr"/>
      <c r="F14" t="inlineStr">
        <is>
          <t>Lands</t>
        </is>
      </c>
      <c r="G14" t="inlineStr">
        <is>
          <t>Common</t>
        </is>
      </c>
      <c r="H14" t="inlineStr">
        <is>
          <t>FIN</t>
        </is>
      </c>
      <c r="I14" t="inlineStr">
        <is>
          <t>0</t>
        </is>
      </c>
      <c r="J14">
        <f>IMAGE("https://api.scryfall.com/cards/named?exact=Crossroads%20Village&amp;format=image&amp;version=normal")</f>
        <v/>
      </c>
      <c r="K14" t="inlineStr">
        <is>
          <t>$0.27</t>
        </is>
      </c>
      <c r="L14" t="inlineStr">
        <is>
          <t>This land enters tapped. As it enters, choose a color. {T}: Add one mana of the chosen color.</t>
        </is>
      </c>
    </row>
    <row r="15" ht="270" customHeight="1">
      <c r="A15" t="inlineStr">
        <is>
          <t>1</t>
        </is>
      </c>
      <c r="B15" t="inlineStr">
        <is>
          <t>Cultivate</t>
        </is>
      </c>
      <c r="C15" t="b">
        <v>1</v>
      </c>
      <c r="D15" t="b">
        <v>0</v>
      </c>
      <c r="E15" t="inlineStr"/>
      <c r="F15" t="inlineStr">
        <is>
          <t>Ramp</t>
        </is>
      </c>
      <c r="G15" t="inlineStr">
        <is>
          <t>Common</t>
        </is>
      </c>
      <c r="H15" t="inlineStr">
        <is>
          <t>MSC</t>
        </is>
      </c>
      <c r="I15" t="inlineStr">
        <is>
          <t>3</t>
        </is>
      </c>
      <c r="J15">
        <f>IMAGE("https://api.scryfall.com/cards/named?exact=Cultivate&amp;format=image&amp;version=normal")</f>
        <v/>
      </c>
      <c r="K15" t="inlineStr">
        <is>
          <t>$0.35</t>
        </is>
      </c>
      <c r="L15" t="inlineStr">
        <is>
          <t>Search your library for up to two basic land cards, reveal those cards, put one onto the battlefield tapped and the other into your hand, then shuffle.</t>
        </is>
      </c>
    </row>
    <row r="16" ht="270" customHeight="1">
      <c r="A16" t="inlineStr">
        <is>
          <t>1</t>
        </is>
      </c>
      <c r="B16" t="inlineStr">
        <is>
          <t>Cycle of Renewal</t>
        </is>
      </c>
      <c r="C16" t="b">
        <v>1</v>
      </c>
      <c r="D16" t="b">
        <v>0</v>
      </c>
      <c r="E16" t="inlineStr"/>
      <c r="F16" t="inlineStr">
        <is>
          <t>Card Advantage</t>
        </is>
      </c>
      <c r="G16" t="inlineStr">
        <is>
          <t>Common</t>
        </is>
      </c>
      <c r="H16" t="inlineStr">
        <is>
          <t>TLA</t>
        </is>
      </c>
      <c r="I16" t="inlineStr">
        <is>
          <t>3</t>
        </is>
      </c>
      <c r="J16">
        <f>IMAGE("https://api.scryfall.com/cards/named?exact=Cycle%20of%20Renewal&amp;format=image&amp;version=normal")</f>
        <v/>
      </c>
      <c r="K16" t="inlineStr">
        <is>
          <t>$0.33</t>
        </is>
      </c>
      <c r="L16" t="inlineStr">
        <is>
          <t>Sacrifice a land. Search your library for up to two basic land cards, put them onto the battlefield tapped, then shuffle.</t>
        </is>
      </c>
    </row>
    <row r="17" ht="270" customHeight="1">
      <c r="A17" t="inlineStr">
        <is>
          <t>1</t>
        </is>
      </c>
      <c r="B17" t="inlineStr">
        <is>
          <t>Elemental Bond</t>
        </is>
      </c>
      <c r="C17" t="b">
        <v>1</v>
      </c>
      <c r="D17" t="b">
        <v>0</v>
      </c>
      <c r="E17" t="inlineStr"/>
      <c r="F17" t="inlineStr">
        <is>
          <t>Card Advantage</t>
        </is>
      </c>
      <c r="G17" t="inlineStr">
        <is>
          <t>Uncommon</t>
        </is>
      </c>
      <c r="H17" t="inlineStr">
        <is>
          <t>TDC</t>
        </is>
      </c>
      <c r="I17" t="inlineStr">
        <is>
          <t>3</t>
        </is>
      </c>
      <c r="J17">
        <f>IMAGE("https://api.scryfall.com/cards/named?exact=Elemental%20Bond&amp;format=image&amp;version=normal")</f>
        <v/>
      </c>
      <c r="K17" t="inlineStr">
        <is>
          <t>$4.13</t>
        </is>
      </c>
      <c r="L17" t="inlineStr">
        <is>
          <t>Whenever a creature you control with power 3 or greater enters, draw a card.</t>
        </is>
      </c>
    </row>
    <row r="18" ht="270" customHeight="1">
      <c r="A18" t="inlineStr">
        <is>
          <t>1</t>
        </is>
      </c>
      <c r="B18" t="inlineStr">
        <is>
          <t>Enormous Baloth</t>
        </is>
      </c>
      <c r="C18" t="b">
        <v>1</v>
      </c>
      <c r="D18" t="b">
        <v>0</v>
      </c>
      <c r="E18" t="inlineStr"/>
      <c r="F18" t="inlineStr">
        <is>
          <t>On Theme</t>
        </is>
      </c>
      <c r="G18" t="inlineStr">
        <is>
          <t>Uncommon</t>
        </is>
      </c>
      <c r="H18" t="inlineStr">
        <is>
          <t>M10</t>
        </is>
      </c>
      <c r="I18" t="inlineStr">
        <is>
          <t>7</t>
        </is>
      </c>
      <c r="J18">
        <f>IMAGE("https://api.scryfall.com/cards/named?exact=Enormous%20Baloth&amp;format=image&amp;version=normal")</f>
        <v/>
      </c>
      <c r="K18" t="inlineStr">
        <is>
          <t>$0.09</t>
        </is>
      </c>
      <c r="L18" t="inlineStr"/>
    </row>
    <row r="19" ht="270" customHeight="1">
      <c r="A19" t="inlineStr">
        <is>
          <t>1</t>
        </is>
      </c>
      <c r="B19" t="inlineStr">
        <is>
          <t>Ezuri's Predation</t>
        </is>
      </c>
      <c r="C19" t="b">
        <v>1</v>
      </c>
      <c r="D19" t="b">
        <v>0</v>
      </c>
      <c r="E19" t="inlineStr"/>
      <c r="F19" t="inlineStr">
        <is>
          <t>On Theme</t>
        </is>
      </c>
      <c r="G19" t="inlineStr">
        <is>
          <t>Rare</t>
        </is>
      </c>
      <c r="H19" t="inlineStr">
        <is>
          <t>DSC</t>
        </is>
      </c>
      <c r="I19" t="inlineStr">
        <is>
          <t>8</t>
        </is>
      </c>
      <c r="J19">
        <f>IMAGE("https://api.scryfall.com/cards/named?exact=Ezuri%27s%20Predation&amp;format=image&amp;version=normal")</f>
        <v/>
      </c>
      <c r="K19" t="inlineStr">
        <is>
          <t>$2.12</t>
        </is>
      </c>
      <c r="L19" t="inlineStr">
        <is>
          <t>For each creature your opponents control, create a 4/4 green Phyrexian Beast creature token. Each of those tokens fights a different one of those creatures.</t>
        </is>
      </c>
    </row>
    <row r="20" ht="270" customHeight="1">
      <c r="A20" t="inlineStr">
        <is>
          <t>1</t>
        </is>
      </c>
      <c r="B20" t="inlineStr">
        <is>
          <t>Fang-Druid Summoner</t>
        </is>
      </c>
      <c r="C20" t="b">
        <v>0</v>
      </c>
      <c r="D20" t="b">
        <v>0</v>
      </c>
      <c r="E20" t="inlineStr"/>
      <c r="F20" t="inlineStr">
        <is>
          <t>On Theme</t>
        </is>
      </c>
      <c r="G20" t="inlineStr">
        <is>
          <t>Uncommon</t>
        </is>
      </c>
      <c r="H20" t="inlineStr">
        <is>
          <t>DFT</t>
        </is>
      </c>
      <c r="I20" t="inlineStr">
        <is>
          <t>4</t>
        </is>
      </c>
      <c r="J20">
        <f>IMAGE("https://api.scryfall.com/cards/named?exact=Fang-Druid%20Summoner&amp;format=image&amp;version=normal")</f>
        <v/>
      </c>
      <c r="K20" t="inlineStr">
        <is>
          <t>$0.19</t>
        </is>
      </c>
      <c r="L20" t="inlineStr">
        <is>
          <t>Reach When this creature enters, you may search your library and/or graveyard for a creature card with no abilities, reveal it, and put it into your hand. If you search your library this way, shuffle.</t>
        </is>
      </c>
    </row>
    <row r="21" ht="270" customHeight="1">
      <c r="A21" t="inlineStr">
        <is>
          <t>1</t>
        </is>
      </c>
      <c r="B21" t="inlineStr">
        <is>
          <t>Felidar Retreat</t>
        </is>
      </c>
      <c r="C21" t="b">
        <v>1</v>
      </c>
      <c r="D21" t="b">
        <v>0</v>
      </c>
      <c r="E21" t="inlineStr"/>
      <c r="F21" t="inlineStr">
        <is>
          <t>On Theme</t>
        </is>
      </c>
      <c r="G21" t="inlineStr">
        <is>
          <t>Rare</t>
        </is>
      </c>
      <c r="H21" t="inlineStr">
        <is>
          <t>FDN</t>
        </is>
      </c>
      <c r="I21" t="inlineStr">
        <is>
          <t>4</t>
        </is>
      </c>
      <c r="J21">
        <f>IMAGE("https://api.scryfall.com/cards/named?exact=Felidar%20Retreat&amp;format=image&amp;version=normal")</f>
        <v/>
      </c>
      <c r="K21" t="inlineStr">
        <is>
          <t>$1.26</t>
        </is>
      </c>
      <c r="L21" t="inlineStr">
        <is>
          <t>Landfall — Whenever a land you control enters, choose one — • Create a 2/2 white Cat Beast creature token. • Put a +1/+1 counter on each creature you control. Those creatures gain vigilance until end of turn.</t>
        </is>
      </c>
    </row>
    <row r="22" ht="270" customHeight="1">
      <c r="A22" t="inlineStr">
        <is>
          <t>1</t>
        </is>
      </c>
      <c r="B22" t="inlineStr">
        <is>
          <t>Flopsie, Bumi's Buddy</t>
        </is>
      </c>
      <c r="C22" t="b">
        <v>1</v>
      </c>
      <c r="D22" t="b">
        <v>0</v>
      </c>
      <c r="E22" t="inlineStr"/>
      <c r="F22" t="inlineStr">
        <is>
          <t>On Theme</t>
        </is>
      </c>
      <c r="G22" t="inlineStr">
        <is>
          <t>Uncommon</t>
        </is>
      </c>
      <c r="H22" t="inlineStr">
        <is>
          <t>TLA</t>
        </is>
      </c>
      <c r="I22" t="inlineStr">
        <is>
          <t>6</t>
        </is>
      </c>
      <c r="J22">
        <f>IMAGE("https://api.scryfall.com/cards/named?exact=Flopsie%2C%20Bumi%27s%20Buddy&amp;format=image&amp;version=normal")</f>
        <v/>
      </c>
      <c r="K22" t="inlineStr">
        <is>
          <t>$0.29</t>
        </is>
      </c>
      <c r="L22" t="inlineStr">
        <is>
          <t>When Flopsie enters, put a +1/+1 counter on each creature you control. Each creature you control with power 4 or greater can't be blocked by more than one creature.</t>
        </is>
      </c>
    </row>
    <row r="23" ht="270" customHeight="1">
      <c r="A23" t="inlineStr">
        <is>
          <t>16</t>
        </is>
      </c>
      <c r="B23" t="inlineStr">
        <is>
          <t>Forest</t>
        </is>
      </c>
      <c r="C23" t="b">
        <v>1</v>
      </c>
      <c r="D23" t="b">
        <v>0</v>
      </c>
      <c r="E23" t="inlineStr"/>
      <c r="F23" t="inlineStr">
        <is>
          <t>Lands</t>
        </is>
      </c>
      <c r="G23" t="inlineStr">
        <is>
          <t>Common</t>
        </is>
      </c>
      <c r="H23" t="inlineStr">
        <is>
          <t>HOB</t>
        </is>
      </c>
      <c r="I23" t="inlineStr">
        <is>
          <t>0</t>
        </is>
      </c>
      <c r="J23">
        <f>IMAGE("https://api.scryfall.com/cards/named?exact=Forest&amp;format=image&amp;version=normal")</f>
        <v/>
      </c>
      <c r="K23" t="inlineStr">
        <is>
          <t>$2.00</t>
        </is>
      </c>
      <c r="L23" t="inlineStr">
        <is>
          <t>({T}: Add {G}.)</t>
        </is>
      </c>
    </row>
    <row r="24" ht="270" customHeight="1">
      <c r="A24" t="inlineStr">
        <is>
          <t>1</t>
        </is>
      </c>
      <c r="B24" t="inlineStr">
        <is>
          <t>Garruk's Packleader</t>
        </is>
      </c>
      <c r="C24" t="b">
        <v>1</v>
      </c>
      <c r="D24" t="b">
        <v>0</v>
      </c>
      <c r="E24" t="inlineStr"/>
      <c r="F24" t="inlineStr">
        <is>
          <t>Card Advantage</t>
        </is>
      </c>
      <c r="G24" t="inlineStr">
        <is>
          <t>Uncommon</t>
        </is>
      </c>
      <c r="H24" t="inlineStr">
        <is>
          <t>J25</t>
        </is>
      </c>
      <c r="I24" t="inlineStr">
        <is>
          <t>5</t>
        </is>
      </c>
      <c r="J24">
        <f>IMAGE("https://api.scryfall.com/cards/named?exact=Garruk%27s%20Packleader&amp;format=image&amp;version=normal")</f>
        <v/>
      </c>
      <c r="K24" t="inlineStr">
        <is>
          <t>$0.29</t>
        </is>
      </c>
      <c r="L24" t="inlineStr">
        <is>
          <t>Whenever another creature you control with power 3 or greater enters, you may draw a card.</t>
        </is>
      </c>
    </row>
    <row r="25" ht="270" customHeight="1">
      <c r="A25" t="inlineStr">
        <is>
          <t>1</t>
        </is>
      </c>
      <c r="B25" t="inlineStr">
        <is>
          <t>Gigantosaurus</t>
        </is>
      </c>
      <c r="C25" t="b">
        <v>1</v>
      </c>
      <c r="D25" t="b">
        <v>0</v>
      </c>
      <c r="E25" t="inlineStr"/>
      <c r="F25" t="inlineStr">
        <is>
          <t>On Theme</t>
        </is>
      </c>
      <c r="G25" t="inlineStr">
        <is>
          <t>Rare</t>
        </is>
      </c>
      <c r="H25" t="inlineStr">
        <is>
          <t>PLST</t>
        </is>
      </c>
      <c r="I25" t="inlineStr">
        <is>
          <t>5</t>
        </is>
      </c>
      <c r="J25">
        <f>IMAGE("https://api.scryfall.com/cards/named?exact=Gigantosaurus&amp;format=image&amp;version=normal")</f>
        <v/>
      </c>
      <c r="K25" t="inlineStr">
        <is>
          <t>$2.00</t>
        </is>
      </c>
      <c r="L25" t="inlineStr"/>
    </row>
    <row r="26" ht="270" customHeight="1">
      <c r="A26" t="inlineStr">
        <is>
          <t>1</t>
        </is>
      </c>
      <c r="B26" t="inlineStr">
        <is>
          <t>Gilded Lotus</t>
        </is>
      </c>
      <c r="C26" t="b">
        <v>1</v>
      </c>
      <c r="D26" t="b">
        <v>0</v>
      </c>
      <c r="E26" t="inlineStr"/>
      <c r="F26" t="inlineStr">
        <is>
          <t>Ramp</t>
        </is>
      </c>
      <c r="G26" t="inlineStr">
        <is>
          <t>Rare</t>
        </is>
      </c>
      <c r="H26" t="inlineStr">
        <is>
          <t>MSC</t>
        </is>
      </c>
      <c r="I26" t="inlineStr">
        <is>
          <t>5</t>
        </is>
      </c>
      <c r="J26">
        <f>IMAGE("https://api.scryfall.com/cards/named?exact=Gilded%20Lotus&amp;format=image&amp;version=normal")</f>
        <v/>
      </c>
      <c r="K26" t="inlineStr">
        <is>
          <t>$0.53</t>
        </is>
      </c>
      <c r="L26" t="inlineStr">
        <is>
          <t>{T}: Add three mana of any one color.</t>
        </is>
      </c>
    </row>
    <row r="27" ht="270" customHeight="1">
      <c r="A27" t="inlineStr">
        <is>
          <t>1</t>
        </is>
      </c>
      <c r="B27" t="inlineStr">
        <is>
          <t>Good-Fortune Unicorn</t>
        </is>
      </c>
      <c r="C27" t="b">
        <v>1</v>
      </c>
      <c r="D27" t="b">
        <v>0</v>
      </c>
      <c r="E27" t="inlineStr"/>
      <c r="F27" t="inlineStr">
        <is>
          <t>On Theme</t>
        </is>
      </c>
      <c r="G27" t="inlineStr">
        <is>
          <t>Uncommon</t>
        </is>
      </c>
      <c r="H27" t="inlineStr">
        <is>
          <t>FDN</t>
        </is>
      </c>
      <c r="I27" t="inlineStr">
        <is>
          <t>3</t>
        </is>
      </c>
      <c r="J27">
        <f>IMAGE("https://api.scryfall.com/cards/named?exact=Good-Fortune%20Unicorn&amp;format=image&amp;version=normal")</f>
        <v/>
      </c>
      <c r="K27" t="inlineStr">
        <is>
          <t>$0.26</t>
        </is>
      </c>
      <c r="L27" t="inlineStr">
        <is>
          <t>Whenever another creature you control enters, put a +1/+1 counter on that creature.</t>
        </is>
      </c>
    </row>
    <row r="28" ht="270" customHeight="1">
      <c r="A28" t="inlineStr">
        <is>
          <t>1</t>
        </is>
      </c>
      <c r="B28" t="inlineStr">
        <is>
          <t>Gravity Well</t>
        </is>
      </c>
      <c r="C28" t="b">
        <v>1</v>
      </c>
      <c r="D28" t="b">
        <v>0</v>
      </c>
      <c r="E28" t="inlineStr"/>
      <c r="F28" t="inlineStr">
        <is>
          <t>Interaction</t>
        </is>
      </c>
      <c r="G28" t="inlineStr">
        <is>
          <t>Uncommon</t>
        </is>
      </c>
      <c r="H28" t="inlineStr">
        <is>
          <t>ROE</t>
        </is>
      </c>
      <c r="I28" t="inlineStr">
        <is>
          <t>3</t>
        </is>
      </c>
      <c r="J28">
        <f>IMAGE("https://api.scryfall.com/cards/named?exact=Gravity%20Well&amp;format=image&amp;version=normal")</f>
        <v/>
      </c>
      <c r="K28" t="inlineStr">
        <is>
          <t>$0.52</t>
        </is>
      </c>
      <c r="L28" t="inlineStr">
        <is>
          <t>Whenever a creature with flying attacks, it loses flying until end of turn.</t>
        </is>
      </c>
    </row>
    <row r="29" ht="270" customHeight="1">
      <c r="A29" t="inlineStr">
        <is>
          <t>1</t>
        </is>
      </c>
      <c r="B29" t="inlineStr">
        <is>
          <t>Harmonize</t>
        </is>
      </c>
      <c r="C29" t="b">
        <v>1</v>
      </c>
      <c r="D29" t="b">
        <v>0</v>
      </c>
      <c r="E29" t="inlineStr"/>
      <c r="F29" t="inlineStr">
        <is>
          <t>Card Advantage</t>
        </is>
      </c>
      <c r="G29" t="inlineStr">
        <is>
          <t>Uncommon</t>
        </is>
      </c>
      <c r="H29" t="inlineStr">
        <is>
          <t>MSC</t>
        </is>
      </c>
      <c r="I29" t="inlineStr">
        <is>
          <t>4</t>
        </is>
      </c>
      <c r="J29">
        <f>IMAGE("https://api.scryfall.com/cards/named?exact=Harmonize&amp;format=image&amp;version=normal")</f>
        <v/>
      </c>
      <c r="K29" t="inlineStr">
        <is>
          <t>$0.22</t>
        </is>
      </c>
      <c r="L29" t="inlineStr">
        <is>
          <t>Draw three cards.</t>
        </is>
      </c>
    </row>
    <row r="30" ht="270" customHeight="1">
      <c r="A30" t="inlineStr">
        <is>
          <t>1</t>
        </is>
      </c>
      <c r="B30" t="inlineStr">
        <is>
          <t>Hunter's Insight</t>
        </is>
      </c>
      <c r="C30" t="b">
        <v>1</v>
      </c>
      <c r="D30" t="b">
        <v>0</v>
      </c>
      <c r="E30" t="inlineStr"/>
      <c r="F30" t="inlineStr">
        <is>
          <t>Card Advantage</t>
        </is>
      </c>
      <c r="G30" t="inlineStr">
        <is>
          <t>Uncommon</t>
        </is>
      </c>
      <c r="H30" t="inlineStr">
        <is>
          <t>CMM</t>
        </is>
      </c>
      <c r="I30" t="inlineStr">
        <is>
          <t>3</t>
        </is>
      </c>
      <c r="J30">
        <f>IMAGE("https://api.scryfall.com/cards/named?exact=Hunter%27s%20Insight&amp;format=image&amp;version=normal")</f>
        <v/>
      </c>
      <c r="K30" t="inlineStr">
        <is>
          <t>$0.54</t>
        </is>
      </c>
      <c r="L30" t="inlineStr">
        <is>
          <t>Choose target creature you control. Whenever that creature deals combat damage to a player or planeswalker this turn, draw that many cards.</t>
        </is>
      </c>
    </row>
    <row r="31" ht="270" customHeight="1">
      <c r="A31" t="inlineStr">
        <is>
          <t>1</t>
        </is>
      </c>
      <c r="B31" t="inlineStr">
        <is>
          <t>Incubation Druid</t>
        </is>
      </c>
      <c r="C31" t="b">
        <v>0</v>
      </c>
      <c r="D31" t="b">
        <v>0</v>
      </c>
      <c r="E31" t="inlineStr"/>
      <c r="F31" t="inlineStr">
        <is>
          <t>Ramp</t>
        </is>
      </c>
      <c r="G31" t="inlineStr">
        <is>
          <t>Rare</t>
        </is>
      </c>
      <c r="H31" t="inlineStr">
        <is>
          <t>FIC</t>
        </is>
      </c>
      <c r="I31" t="inlineStr">
        <is>
          <t>2</t>
        </is>
      </c>
      <c r="J31">
        <f>IMAGE("https://api.scryfall.com/cards/named?exact=Incubation%20Druid&amp;format=image&amp;version=normal")</f>
        <v/>
      </c>
      <c r="K31" t="inlineStr">
        <is>
          <t>$1.12</t>
        </is>
      </c>
      <c r="L31" t="inlineStr">
        <is>
          <t>{T}: Add one mana of any type that a land you control could produce. If this creature has a +1/+1 counter on it, add three mana of that type instead. {3}{G}{G}: Adapt 3. (If this creature has no +1/+1 counters on it, put three +1/+1 counters on it.)</t>
        </is>
      </c>
    </row>
    <row r="32" ht="270" customHeight="1">
      <c r="A32" t="inlineStr">
        <is>
          <t>1</t>
        </is>
      </c>
      <c r="B32" t="inlineStr">
        <is>
          <t>Indomitable Ancients</t>
        </is>
      </c>
      <c r="C32" t="b">
        <v>1</v>
      </c>
      <c r="D32" t="b">
        <v>0</v>
      </c>
      <c r="E32" t="inlineStr"/>
      <c r="F32" t="inlineStr">
        <is>
          <t>On Theme</t>
        </is>
      </c>
      <c r="G32" t="inlineStr">
        <is>
          <t>Rare</t>
        </is>
      </c>
      <c r="H32" t="inlineStr">
        <is>
          <t>TDC</t>
        </is>
      </c>
      <c r="I32" t="inlineStr">
        <is>
          <t>4</t>
        </is>
      </c>
      <c r="J32">
        <f>IMAGE("https://api.scryfall.com/cards/named?exact=Indomitable%20Ancients&amp;format=image&amp;version=normal")</f>
        <v/>
      </c>
      <c r="K32" t="inlineStr">
        <is>
          <t>$0.34</t>
        </is>
      </c>
      <c r="L32" t="inlineStr"/>
    </row>
    <row r="33" ht="270" customHeight="1">
      <c r="A33" t="inlineStr">
        <is>
          <t>1</t>
        </is>
      </c>
      <c r="B33" t="inlineStr">
        <is>
          <t>Jasmine Boreal of the Seven</t>
        </is>
      </c>
      <c r="C33" t="b">
        <v>1</v>
      </c>
      <c r="D33" t="b">
        <v>0</v>
      </c>
      <c r="E33" t="inlineStr"/>
      <c r="F33" t="inlineStr">
        <is>
          <t>On Theme</t>
        </is>
      </c>
      <c r="G33" t="inlineStr">
        <is>
          <t>Uncommon</t>
        </is>
      </c>
      <c r="H33" t="inlineStr">
        <is>
          <t>DMC</t>
        </is>
      </c>
      <c r="I33" t="inlineStr">
        <is>
          <t>3</t>
        </is>
      </c>
      <c r="J33">
        <f>IMAGE("https://api.scryfall.com/cards/named?exact=Jasmine%20Boreal%20of%20the%20Seven&amp;format=image&amp;version=normal")</f>
        <v/>
      </c>
      <c r="K33" t="inlineStr">
        <is>
          <t>$0.27</t>
        </is>
      </c>
      <c r="L33" t="inlineStr">
        <is>
          <t>{T}: Add {G}{W}. Spend this mana only to cast creature spells with no abilities. Creatures you control with no abilities can't be blocked by creatures with abilities.</t>
        </is>
      </c>
    </row>
    <row r="34" ht="270" customHeight="1">
      <c r="A34" t="inlineStr">
        <is>
          <t>1</t>
        </is>
      </c>
      <c r="B34" t="inlineStr">
        <is>
          <t>Keep Out</t>
        </is>
      </c>
      <c r="C34" t="b">
        <v>1</v>
      </c>
      <c r="D34" t="b">
        <v>0</v>
      </c>
      <c r="E34" t="inlineStr"/>
      <c r="F34" t="inlineStr">
        <is>
          <t>Interaction</t>
        </is>
      </c>
      <c r="G34" t="inlineStr">
        <is>
          <t>Common</t>
        </is>
      </c>
      <c r="H34" t="inlineStr">
        <is>
          <t>ECL</t>
        </is>
      </c>
      <c r="I34" t="inlineStr">
        <is>
          <t>2</t>
        </is>
      </c>
      <c r="J34">
        <f>IMAGE("https://api.scryfall.com/cards/named?exact=Keep%20Out&amp;format=image&amp;version=normal")</f>
        <v/>
      </c>
      <c r="K34" t="inlineStr">
        <is>
          <t>$0.13</t>
        </is>
      </c>
      <c r="L34" t="inlineStr">
        <is>
          <t>Choose one — • Keep Out deals 4 damage to target tapped creature. • Destroy target enchantment.</t>
        </is>
      </c>
    </row>
    <row r="35" ht="270" customHeight="1">
      <c r="A35" t="inlineStr">
        <is>
          <t>1</t>
        </is>
      </c>
      <c r="B35" t="inlineStr">
        <is>
          <t>Kenrith's Transformation</t>
        </is>
      </c>
      <c r="C35" t="b">
        <v>1</v>
      </c>
      <c r="D35" t="b">
        <v>0</v>
      </c>
      <c r="E35" t="inlineStr"/>
      <c r="F35" t="inlineStr">
        <is>
          <t>Interaction</t>
        </is>
      </c>
      <c r="G35" t="inlineStr">
        <is>
          <t>Uncommon</t>
        </is>
      </c>
      <c r="H35" t="inlineStr">
        <is>
          <t>PLST</t>
        </is>
      </c>
      <c r="I35" t="inlineStr">
        <is>
          <t>2</t>
        </is>
      </c>
      <c r="J35">
        <f>IMAGE("https://api.scryfall.com/cards/named?exact=Kenrith%27s%20Transformation&amp;format=image&amp;version=normal")</f>
        <v/>
      </c>
      <c r="K35" t="inlineStr">
        <is>
          <t>$0.91</t>
        </is>
      </c>
      <c r="L35" t="inlineStr">
        <is>
          <t>Enchant creature When this Aura enters, draw a card. Enchanted creature loses all abilities and is a green Elk creature with base power and toughness 3/3. (It loses all other card types and creature types.)</t>
        </is>
      </c>
    </row>
    <row r="36" ht="270" customHeight="1">
      <c r="A36" t="inlineStr">
        <is>
          <t>1</t>
        </is>
      </c>
      <c r="B36" t="inlineStr">
        <is>
          <t>Krosan Verge</t>
        </is>
      </c>
      <c r="C36" t="b">
        <v>1</v>
      </c>
      <c r="D36" t="b">
        <v>0</v>
      </c>
      <c r="E36" t="inlineStr"/>
      <c r="F36" t="inlineStr">
        <is>
          <t>Lands</t>
        </is>
      </c>
      <c r="G36" t="inlineStr">
        <is>
          <t>Uncommon</t>
        </is>
      </c>
      <c r="H36" t="inlineStr">
        <is>
          <t>OTC</t>
        </is>
      </c>
      <c r="I36" t="inlineStr">
        <is>
          <t>0</t>
        </is>
      </c>
      <c r="J36">
        <f>IMAGE("https://api.scryfall.com/cards/named?exact=Krosan%20Verge&amp;format=image&amp;version=normal")</f>
        <v/>
      </c>
      <c r="K36" t="inlineStr">
        <is>
          <t>$0.29</t>
        </is>
      </c>
      <c r="L36" t="inlineStr">
        <is>
          <t>This land enters tapped. {T}: Add {C}. {2}, {T}, Sacrifice this land: Search your library for a Forest card and a Plains card, put them onto the battlefield tapped, then shuffle.</t>
        </is>
      </c>
    </row>
    <row r="37" ht="270" customHeight="1">
      <c r="A37" t="inlineStr">
        <is>
          <t>1</t>
        </is>
      </c>
      <c r="B37" t="inlineStr">
        <is>
          <t>Luminous Bonds</t>
        </is>
      </c>
      <c r="C37" t="b">
        <v>1</v>
      </c>
      <c r="D37" t="b">
        <v>0</v>
      </c>
      <c r="E37" t="inlineStr"/>
      <c r="F37" t="inlineStr">
        <is>
          <t>Interaction</t>
        </is>
      </c>
      <c r="G37" t="inlineStr">
        <is>
          <t>Common</t>
        </is>
      </c>
      <c r="H37" t="inlineStr">
        <is>
          <t>GRN</t>
        </is>
      </c>
      <c r="I37" t="inlineStr">
        <is>
          <t>3</t>
        </is>
      </c>
      <c r="J37">
        <f>IMAGE("https://api.scryfall.com/cards/named?exact=Luminous%20Bonds&amp;format=image&amp;version=normal")</f>
        <v/>
      </c>
      <c r="K37" t="inlineStr">
        <is>
          <t>$0.05</t>
        </is>
      </c>
      <c r="L37" t="inlineStr">
        <is>
          <t>Enchant creature Enchanted creature can't attack or block.</t>
        </is>
      </c>
    </row>
    <row r="38" ht="270" customHeight="1">
      <c r="A38" t="inlineStr">
        <is>
          <t>1</t>
        </is>
      </c>
      <c r="B38" t="inlineStr">
        <is>
          <t>Lurking Predators</t>
        </is>
      </c>
      <c r="C38" t="b">
        <v>1</v>
      </c>
      <c r="D38" t="b">
        <v>0</v>
      </c>
      <c r="E38" t="inlineStr"/>
      <c r="F38" t="inlineStr">
        <is>
          <t>Card Advantage</t>
        </is>
      </c>
      <c r="G38" t="inlineStr">
        <is>
          <t>Rare</t>
        </is>
      </c>
      <c r="H38" t="inlineStr">
        <is>
          <t>PLST</t>
        </is>
      </c>
      <c r="I38" t="inlineStr">
        <is>
          <t>6</t>
        </is>
      </c>
      <c r="J38">
        <f>IMAGE("https://api.scryfall.com/cards/named?exact=Lurking%20Predators&amp;format=image&amp;version=normal")</f>
        <v/>
      </c>
      <c r="K38" t="inlineStr">
        <is>
          <t>$20.00</t>
        </is>
      </c>
      <c r="L38" t="inlineStr">
        <is>
          <t>Whenever an opponent casts a spell, reveal the top card of your library. If it's a creature card, put it onto the battlefield. Otherwise, you may put that card on the bottom of your library.</t>
        </is>
      </c>
    </row>
    <row r="39" ht="270" customHeight="1">
      <c r="A39" t="inlineStr">
        <is>
          <t>1</t>
        </is>
      </c>
      <c r="B39" t="inlineStr">
        <is>
          <t>Make Your Move</t>
        </is>
      </c>
      <c r="C39" t="b">
        <v>1</v>
      </c>
      <c r="D39" t="b">
        <v>0</v>
      </c>
      <c r="E39" t="inlineStr"/>
      <c r="F39" t="inlineStr">
        <is>
          <t>Interaction</t>
        </is>
      </c>
      <c r="G39" t="inlineStr">
        <is>
          <t>Common</t>
        </is>
      </c>
      <c r="H39" t="inlineStr">
        <is>
          <t>MSC</t>
        </is>
      </c>
      <c r="I39" t="inlineStr">
        <is>
          <t>3</t>
        </is>
      </c>
      <c r="J39">
        <f>IMAGE("https://api.scryfall.com/cards/named?exact=Make%20Your%20Move&amp;format=image&amp;version=normal")</f>
        <v/>
      </c>
      <c r="K39" t="inlineStr">
        <is>
          <t>$0.23</t>
        </is>
      </c>
      <c r="L39" t="inlineStr">
        <is>
          <t>Destroy target artifact, enchantment, or creature with power 4 or greater.</t>
        </is>
      </c>
    </row>
    <row r="40" ht="270" customHeight="1">
      <c r="A40" t="inlineStr">
        <is>
          <t>1</t>
        </is>
      </c>
      <c r="B40" t="inlineStr">
        <is>
          <t>Muraganda Petroglyphs</t>
        </is>
      </c>
      <c r="C40" t="b">
        <v>0</v>
      </c>
      <c r="D40" t="b">
        <v>0</v>
      </c>
      <c r="E40" t="inlineStr"/>
      <c r="F40" t="inlineStr">
        <is>
          <t>On Theme</t>
        </is>
      </c>
      <c r="G40" t="inlineStr">
        <is>
          <t>Rare</t>
        </is>
      </c>
      <c r="H40" t="inlineStr">
        <is>
          <t>PLST</t>
        </is>
      </c>
      <c r="I40" t="inlineStr">
        <is>
          <t>4</t>
        </is>
      </c>
      <c r="J40">
        <f>IMAGE("https://api.scryfall.com/cards/named?exact=Muraganda%20Petroglyphs&amp;format=image&amp;version=normal")</f>
        <v/>
      </c>
      <c r="K40" t="inlineStr">
        <is>
          <t>$0.60</t>
        </is>
      </c>
      <c r="L40" t="inlineStr">
        <is>
          <t>Creatures with no abilities get +2/+2.</t>
        </is>
      </c>
    </row>
    <row r="41" ht="270" customHeight="1">
      <c r="A41" t="inlineStr">
        <is>
          <t>1</t>
        </is>
      </c>
      <c r="B41" t="inlineStr">
        <is>
          <t>Myriad Landscape</t>
        </is>
      </c>
      <c r="C41" t="b">
        <v>1</v>
      </c>
      <c r="D41" t="b">
        <v>0</v>
      </c>
      <c r="E41" t="inlineStr"/>
      <c r="F41" t="inlineStr">
        <is>
          <t>Lands</t>
        </is>
      </c>
      <c r="G41" t="inlineStr">
        <is>
          <t>Uncommon</t>
        </is>
      </c>
      <c r="H41" t="inlineStr">
        <is>
          <t>EOC</t>
        </is>
      </c>
      <c r="I41" t="inlineStr">
        <is>
          <t>0</t>
        </is>
      </c>
      <c r="J41">
        <f>IMAGE("https://api.scryfall.com/cards/named?exact=Myriad%20Landscape&amp;format=image&amp;version=normal")</f>
        <v/>
      </c>
      <c r="K41" t="inlineStr">
        <is>
          <t>$0.27</t>
        </is>
      </c>
      <c r="L41" t="inlineStr">
        <is>
          <t>This land enters tapped. {T}: Add {C}. {2}, {T}, Sacrifice this land: Search your library for up to two basic land cards that share a land type, put them onto the battlefield tapped, then shuffle.</t>
        </is>
      </c>
    </row>
    <row r="42" ht="270" customHeight="1">
      <c r="A42" t="inlineStr">
        <is>
          <t>1</t>
        </is>
      </c>
      <c r="B42" t="inlineStr">
        <is>
          <t>Naturalize</t>
        </is>
      </c>
      <c r="C42" t="b">
        <v>1</v>
      </c>
      <c r="D42" t="b">
        <v>0</v>
      </c>
      <c r="E42" t="inlineStr"/>
      <c r="F42" t="inlineStr">
        <is>
          <t>Interaction</t>
        </is>
      </c>
      <c r="G42" t="inlineStr">
        <is>
          <t>Common</t>
        </is>
      </c>
      <c r="H42" t="inlineStr">
        <is>
          <t>PLST</t>
        </is>
      </c>
      <c r="I42" t="inlineStr">
        <is>
          <t>2</t>
        </is>
      </c>
      <c r="J42">
        <f>IMAGE("https://api.scryfall.com/cards/named?exact=Naturalize&amp;format=image&amp;version=normal")</f>
        <v/>
      </c>
      <c r="K42" t="inlineStr">
        <is>
          <t>$0.29</t>
        </is>
      </c>
      <c r="L42" t="inlineStr">
        <is>
          <t>Destroy target artifact or enchantment.</t>
        </is>
      </c>
    </row>
    <row r="43" ht="270" customHeight="1">
      <c r="A43" t="inlineStr">
        <is>
          <t>1</t>
        </is>
      </c>
      <c r="B43" t="inlineStr">
        <is>
          <t>Oak Street Innkeeper</t>
        </is>
      </c>
      <c r="C43" t="b">
        <v>1</v>
      </c>
      <c r="D43" t="b">
        <v>0</v>
      </c>
      <c r="E43" t="inlineStr"/>
      <c r="F43" t="inlineStr">
        <is>
          <t>Interaction</t>
        </is>
      </c>
      <c r="G43" t="inlineStr">
        <is>
          <t>Uncommon</t>
        </is>
      </c>
      <c r="H43" t="inlineStr">
        <is>
          <t>RTR</t>
        </is>
      </c>
      <c r="I43" t="inlineStr">
        <is>
          <t>3</t>
        </is>
      </c>
      <c r="J43">
        <f>IMAGE("https://api.scryfall.com/cards/named?exact=Oak%20Street%20Innkeeper&amp;format=image&amp;version=normal")</f>
        <v/>
      </c>
      <c r="K43" t="inlineStr">
        <is>
          <t>$0.12</t>
        </is>
      </c>
      <c r="L43" t="inlineStr">
        <is>
          <t>During turns other than yours, tapped creatures you control have hexproof.</t>
        </is>
      </c>
    </row>
    <row r="44" ht="270" customHeight="1">
      <c r="A44" t="inlineStr">
        <is>
          <t>1</t>
        </is>
      </c>
      <c r="B44" t="inlineStr">
        <is>
          <t>Orazca Frillback</t>
        </is>
      </c>
      <c r="C44" t="b">
        <v>1</v>
      </c>
      <c r="D44" t="b">
        <v>0</v>
      </c>
      <c r="E44" t="inlineStr"/>
      <c r="F44" t="inlineStr">
        <is>
          <t>On Theme</t>
        </is>
      </c>
      <c r="G44" t="inlineStr">
        <is>
          <t>Common</t>
        </is>
      </c>
      <c r="H44" t="inlineStr">
        <is>
          <t>JMP</t>
        </is>
      </c>
      <c r="I44" t="inlineStr">
        <is>
          <t>3</t>
        </is>
      </c>
      <c r="J44">
        <f>IMAGE("https://api.scryfall.com/cards/named?exact=Orazca%20Frillback&amp;format=image&amp;version=normal")</f>
        <v/>
      </c>
      <c r="K44" t="inlineStr">
        <is>
          <t>$0.29</t>
        </is>
      </c>
      <c r="L44" t="inlineStr"/>
    </row>
    <row r="45" ht="270" customHeight="1">
      <c r="A45" t="inlineStr">
        <is>
          <t>1</t>
        </is>
      </c>
      <c r="B45" t="inlineStr">
        <is>
          <t>Oreskos Swiftclaw</t>
        </is>
      </c>
      <c r="C45" t="b">
        <v>1</v>
      </c>
      <c r="D45" t="b">
        <v>0</v>
      </c>
      <c r="E45" t="inlineStr"/>
      <c r="F45" t="inlineStr">
        <is>
          <t>On Theme</t>
        </is>
      </c>
      <c r="G45" t="inlineStr">
        <is>
          <t>Common</t>
        </is>
      </c>
      <c r="H45" t="inlineStr">
        <is>
          <t>PLST</t>
        </is>
      </c>
      <c r="I45" t="inlineStr">
        <is>
          <t>2</t>
        </is>
      </c>
      <c r="J45">
        <f>IMAGE("https://api.scryfall.com/cards/named?exact=Oreskos%20Swiftclaw&amp;format=image&amp;version=normal")</f>
        <v/>
      </c>
      <c r="K45" t="inlineStr">
        <is>
          <t>$0.23</t>
        </is>
      </c>
      <c r="L45" t="inlineStr"/>
    </row>
    <row r="46" ht="270" customHeight="1">
      <c r="A46" t="inlineStr">
        <is>
          <t>13</t>
        </is>
      </c>
      <c r="B46" t="inlineStr">
        <is>
          <t>Plains</t>
        </is>
      </c>
      <c r="C46" t="b">
        <v>1</v>
      </c>
      <c r="D46" t="b">
        <v>0</v>
      </c>
      <c r="E46" t="inlineStr"/>
      <c r="F46" t="inlineStr">
        <is>
          <t>Lands</t>
        </is>
      </c>
      <c r="G46" t="inlineStr">
        <is>
          <t>Common</t>
        </is>
      </c>
      <c r="H46" t="inlineStr">
        <is>
          <t>HOB</t>
        </is>
      </c>
      <c r="I46" t="inlineStr">
        <is>
          <t>0</t>
        </is>
      </c>
      <c r="J46">
        <f>IMAGE("https://api.scryfall.com/cards/named?exact=Plains&amp;format=image&amp;version=normal")</f>
        <v/>
      </c>
      <c r="K46" t="inlineStr">
        <is>
          <t>$2.00</t>
        </is>
      </c>
      <c r="L46" t="inlineStr">
        <is>
          <t>({T}: Add {W}.)</t>
        </is>
      </c>
    </row>
    <row r="47" ht="270" customHeight="1">
      <c r="A47" t="inlineStr">
        <is>
          <t>1</t>
        </is>
      </c>
      <c r="B47" t="inlineStr">
        <is>
          <t>Primordial Wurm</t>
        </is>
      </c>
      <c r="C47" t="b">
        <v>1</v>
      </c>
      <c r="D47" t="b">
        <v>0</v>
      </c>
      <c r="E47" t="inlineStr"/>
      <c r="F47" t="inlineStr">
        <is>
          <t>On Theme</t>
        </is>
      </c>
      <c r="G47" t="inlineStr">
        <is>
          <t>Common</t>
        </is>
      </c>
      <c r="H47" t="inlineStr">
        <is>
          <t>WAR</t>
        </is>
      </c>
      <c r="I47" t="inlineStr">
        <is>
          <t>6</t>
        </is>
      </c>
      <c r="J47">
        <f>IMAGE("https://api.scryfall.com/cards/named?exact=Primordial%20Wurm&amp;format=image&amp;version=normal")</f>
        <v/>
      </c>
      <c r="K47" t="inlineStr">
        <is>
          <t>$0.05</t>
        </is>
      </c>
      <c r="L47" t="inlineStr"/>
    </row>
    <row r="48" ht="270" customHeight="1">
      <c r="A48" t="inlineStr">
        <is>
          <t>1</t>
        </is>
      </c>
      <c r="B48" t="inlineStr">
        <is>
          <t>Prismatic Omen</t>
        </is>
      </c>
      <c r="C48" t="b">
        <v>0</v>
      </c>
      <c r="D48" t="b">
        <v>0</v>
      </c>
      <c r="E48" t="inlineStr"/>
      <c r="F48" t="inlineStr">
        <is>
          <t>On Theme</t>
        </is>
      </c>
      <c r="G48" t="inlineStr">
        <is>
          <t>Rare</t>
        </is>
      </c>
      <c r="H48" t="inlineStr">
        <is>
          <t>SHM</t>
        </is>
      </c>
      <c r="I48" t="inlineStr">
        <is>
          <t>2</t>
        </is>
      </c>
      <c r="J48">
        <f>IMAGE("https://api.scryfall.com/cards/named?exact=Prismatic%20Omen&amp;format=image&amp;version=normal")</f>
        <v/>
      </c>
      <c r="K48" t="inlineStr">
        <is>
          <t>$6.54</t>
        </is>
      </c>
      <c r="L48" t="inlineStr">
        <is>
          <t>Lands you control are every basic land type in addition to their other types.</t>
        </is>
      </c>
    </row>
    <row r="49" ht="270" customHeight="1">
      <c r="A49" t="inlineStr">
        <is>
          <t>1</t>
        </is>
      </c>
      <c r="B49" t="inlineStr">
        <is>
          <t>Quakestrider Ceratops</t>
        </is>
      </c>
      <c r="C49" t="b">
        <v>1</v>
      </c>
      <c r="D49" t="b">
        <v>0</v>
      </c>
      <c r="E49" t="inlineStr"/>
      <c r="F49" t="inlineStr">
        <is>
          <t>On Theme</t>
        </is>
      </c>
      <c r="G49" t="inlineStr">
        <is>
          <t>Uncommon</t>
        </is>
      </c>
      <c r="H49" t="inlineStr">
        <is>
          <t>FDN</t>
        </is>
      </c>
      <c r="I49" t="inlineStr">
        <is>
          <t>6</t>
        </is>
      </c>
      <c r="J49">
        <f>IMAGE("https://api.scryfall.com/cards/named?exact=Quakestrider%20Ceratops&amp;format=image&amp;version=normal")</f>
        <v/>
      </c>
      <c r="K49" t="inlineStr">
        <is>
          <t>$0.24</t>
        </is>
      </c>
      <c r="L49" t="inlineStr"/>
    </row>
    <row r="50" ht="270" customHeight="1">
      <c r="A50" t="inlineStr">
        <is>
          <t>1</t>
        </is>
      </c>
      <c r="B50" t="inlineStr">
        <is>
          <t>Quilled Slagwurm</t>
        </is>
      </c>
      <c r="C50" t="b">
        <v>1</v>
      </c>
      <c r="D50" t="b">
        <v>0</v>
      </c>
      <c r="E50" t="inlineStr"/>
      <c r="F50" t="inlineStr">
        <is>
          <t>On Theme</t>
        </is>
      </c>
      <c r="G50" t="inlineStr">
        <is>
          <t>Uncommon</t>
        </is>
      </c>
      <c r="H50" t="inlineStr">
        <is>
          <t>MBS</t>
        </is>
      </c>
      <c r="I50" t="inlineStr">
        <is>
          <t>7</t>
        </is>
      </c>
      <c r="J50">
        <f>IMAGE("https://api.scryfall.com/cards/named?exact=Quilled%20Slagwurm&amp;format=image&amp;version=normal")</f>
        <v/>
      </c>
      <c r="K50" t="inlineStr">
        <is>
          <t>$0.14</t>
        </is>
      </c>
      <c r="L50" t="inlineStr"/>
    </row>
    <row r="51" ht="270" customHeight="1">
      <c r="A51" t="inlineStr">
        <is>
          <t>1</t>
        </is>
      </c>
      <c r="B51" t="inlineStr">
        <is>
          <t>Rabid Bite</t>
        </is>
      </c>
      <c r="C51" t="b">
        <v>1</v>
      </c>
      <c r="D51" t="b">
        <v>0</v>
      </c>
      <c r="E51" t="inlineStr"/>
      <c r="F51" t="inlineStr">
        <is>
          <t>Interaction</t>
        </is>
      </c>
      <c r="G51" t="inlineStr">
        <is>
          <t>Common</t>
        </is>
      </c>
      <c r="H51" t="inlineStr">
        <is>
          <t>BLB</t>
        </is>
      </c>
      <c r="I51" t="inlineStr">
        <is>
          <t>2</t>
        </is>
      </c>
      <c r="J51">
        <f>IMAGE("https://api.scryfall.com/cards/named?exact=Rabid%20Bite&amp;format=image&amp;version=normal")</f>
        <v/>
      </c>
      <c r="K51" t="inlineStr">
        <is>
          <t>$0.15</t>
        </is>
      </c>
      <c r="L51" t="inlineStr">
        <is>
          <t>Target creature you control deals damage equal to its power to target creature you don't control.</t>
        </is>
      </c>
    </row>
    <row r="52" ht="270" customHeight="1">
      <c r="A52" t="inlineStr">
        <is>
          <t>1</t>
        </is>
      </c>
      <c r="B52" t="inlineStr">
        <is>
          <t>Radiant Grove</t>
        </is>
      </c>
      <c r="C52" t="b">
        <v>1</v>
      </c>
      <c r="D52" t="b">
        <v>0</v>
      </c>
      <c r="E52" t="inlineStr"/>
      <c r="F52" t="inlineStr">
        <is>
          <t>Lands</t>
        </is>
      </c>
      <c r="G52" t="inlineStr">
        <is>
          <t>Common</t>
        </is>
      </c>
      <c r="H52" t="inlineStr">
        <is>
          <t>FIC</t>
        </is>
      </c>
      <c r="I52" t="inlineStr">
        <is>
          <t>0</t>
        </is>
      </c>
      <c r="J52">
        <f>IMAGE("https://api.scryfall.com/cards/named?exact=Radiant%20Grove&amp;format=image&amp;version=normal")</f>
        <v/>
      </c>
      <c r="K52" t="inlineStr">
        <is>
          <t>$0.29</t>
        </is>
      </c>
      <c r="L52" t="inlineStr">
        <is>
          <t>({T}: Add {G} or {W}.) This land enters tapped.</t>
        </is>
      </c>
    </row>
    <row r="53" ht="270" customHeight="1">
      <c r="A53" t="inlineStr">
        <is>
          <t>1</t>
        </is>
      </c>
      <c r="B53" t="inlineStr">
        <is>
          <t>Rampaging Baloths</t>
        </is>
      </c>
      <c r="C53" t="b">
        <v>1</v>
      </c>
      <c r="D53" t="b">
        <v>0</v>
      </c>
      <c r="E53" t="inlineStr"/>
      <c r="F53" t="inlineStr">
        <is>
          <t>On Theme</t>
        </is>
      </c>
      <c r="G53" t="inlineStr">
        <is>
          <t>Rare</t>
        </is>
      </c>
      <c r="H53" t="inlineStr">
        <is>
          <t>EOC</t>
        </is>
      </c>
      <c r="I53" t="inlineStr">
        <is>
          <t>6</t>
        </is>
      </c>
      <c r="J53">
        <f>IMAGE("https://api.scryfall.com/cards/named?exact=Rampaging%20Baloths&amp;format=image&amp;version=normal")</f>
        <v/>
      </c>
      <c r="K53" t="inlineStr">
        <is>
          <t>$0.31</t>
        </is>
      </c>
      <c r="L53" t="inlineStr">
        <is>
          <t>Trample Landfall — Whenever a land you control enters, create a 4/4 green Beast creature token.</t>
        </is>
      </c>
    </row>
    <row r="54" ht="270" customHeight="1">
      <c r="A54" t="inlineStr">
        <is>
          <t>1</t>
        </is>
      </c>
      <c r="B54" t="inlineStr">
        <is>
          <t>Raucous Audience</t>
        </is>
      </c>
      <c r="C54" t="b">
        <v>1</v>
      </c>
      <c r="D54" t="b">
        <v>0</v>
      </c>
      <c r="E54" t="inlineStr"/>
      <c r="F54" t="inlineStr">
        <is>
          <t>Ramp</t>
        </is>
      </c>
      <c r="G54" t="inlineStr">
        <is>
          <t>Common</t>
        </is>
      </c>
      <c r="H54" t="inlineStr">
        <is>
          <t>TLA</t>
        </is>
      </c>
      <c r="I54" t="inlineStr">
        <is>
          <t>2</t>
        </is>
      </c>
      <c r="J54">
        <f>IMAGE("https://api.scryfall.com/cards/named?exact=Raucous%20Audience&amp;format=image&amp;version=normal")</f>
        <v/>
      </c>
      <c r="K54" t="inlineStr">
        <is>
          <t>$0.15</t>
        </is>
      </c>
      <c r="L54" t="inlineStr">
        <is>
          <t>{T}: Add {G}. If you control a creature with power 4 or greater, add {G}{G} instead.</t>
        </is>
      </c>
    </row>
    <row r="55" ht="270" customHeight="1">
      <c r="A55" t="inlineStr">
        <is>
          <t>1</t>
        </is>
      </c>
      <c r="B55" t="inlineStr">
        <is>
          <t>Rootborn Defenses</t>
        </is>
      </c>
      <c r="C55" t="b">
        <v>1</v>
      </c>
      <c r="D55" t="b">
        <v>0</v>
      </c>
      <c r="E55" t="inlineStr"/>
      <c r="F55" t="inlineStr">
        <is>
          <t>Interaction</t>
        </is>
      </c>
      <c r="G55" t="inlineStr">
        <is>
          <t>Common</t>
        </is>
      </c>
      <c r="H55" t="inlineStr">
        <is>
          <t>CLU</t>
        </is>
      </c>
      <c r="I55" t="inlineStr">
        <is>
          <t>3</t>
        </is>
      </c>
      <c r="J55">
        <f>IMAGE("https://api.scryfall.com/cards/named?exact=Rootborn%20Defenses&amp;format=image&amp;version=normal")</f>
        <v/>
      </c>
      <c r="K55" t="inlineStr">
        <is>
          <t>$0.26</t>
        </is>
      </c>
      <c r="L55" t="inlineStr">
        <is>
          <t>Populate. Creatures you control gain indestructible until end of turn. (To populate, create a token that's a copy of a creature token you control.)</t>
        </is>
      </c>
    </row>
    <row r="56" ht="270" customHeight="1">
      <c r="A56" t="inlineStr">
        <is>
          <t>1</t>
        </is>
      </c>
      <c r="B56" t="inlineStr">
        <is>
          <t>Runic Armasaur</t>
        </is>
      </c>
      <c r="C56" t="b">
        <v>1</v>
      </c>
      <c r="D56" t="b">
        <v>0</v>
      </c>
      <c r="E56" t="inlineStr"/>
      <c r="F56" t="inlineStr">
        <is>
          <t>Card Advantage</t>
        </is>
      </c>
      <c r="G56" t="inlineStr">
        <is>
          <t>Rare</t>
        </is>
      </c>
      <c r="H56" t="inlineStr">
        <is>
          <t>LCC</t>
        </is>
      </c>
      <c r="I56" t="inlineStr">
        <is>
          <t>3</t>
        </is>
      </c>
      <c r="J56">
        <f>IMAGE("https://api.scryfall.com/cards/named?exact=Runic%20Armasaur&amp;format=image&amp;version=normal")</f>
        <v/>
      </c>
      <c r="K56" t="inlineStr">
        <is>
          <t>$2.16</t>
        </is>
      </c>
      <c r="L56" t="inlineStr">
        <is>
          <t>Whenever an opponent activates an ability of a creature or land that isn't a mana ability, you may draw a card.</t>
        </is>
      </c>
    </row>
    <row r="57" ht="270" customHeight="1">
      <c r="A57" t="inlineStr">
        <is>
          <t>1</t>
        </is>
      </c>
      <c r="B57" t="inlineStr">
        <is>
          <t>Ruxa, Patient Professor</t>
        </is>
      </c>
      <c r="C57" t="b">
        <v>0</v>
      </c>
      <c r="D57" t="b">
        <v>0</v>
      </c>
      <c r="E57" t="inlineStr"/>
      <c r="F57" t="inlineStr">
        <is>
          <t>On Theme</t>
        </is>
      </c>
      <c r="G57" t="inlineStr">
        <is>
          <t>Rare</t>
        </is>
      </c>
      <c r="H57" t="inlineStr">
        <is>
          <t>C21</t>
        </is>
      </c>
      <c r="I57" t="inlineStr">
        <is>
          <t>4</t>
        </is>
      </c>
      <c r="J57">
        <f>IMAGE("https://api.scryfall.com/cards/named?exact=Ruxa%2C%20Patient%20Professor&amp;format=image&amp;version=normal")</f>
        <v/>
      </c>
      <c r="K57" t="inlineStr">
        <is>
          <t>$4.31</t>
        </is>
      </c>
      <c r="L57" t="inlineStr">
        <is>
          <t>Whenever Ruxa enters or attacks, return target creature card with no abilities from your graveyard to your hand. Creatures you control with no abilities get +1/+1. For each creature you control with no abilities, you may have that creature assign its combat damage as though it weren't blocked.</t>
        </is>
      </c>
    </row>
    <row r="58" ht="270" customHeight="1">
      <c r="A58" t="inlineStr">
        <is>
          <t>1</t>
        </is>
      </c>
      <c r="B58" t="inlineStr">
        <is>
          <t>Sandwurm Convergence</t>
        </is>
      </c>
      <c r="C58" t="b">
        <v>1</v>
      </c>
      <c r="D58" t="b">
        <v>0</v>
      </c>
      <c r="E58" t="inlineStr"/>
      <c r="F58" t="inlineStr">
        <is>
          <t>On Theme</t>
        </is>
      </c>
      <c r="G58" t="inlineStr">
        <is>
          <t>Rare</t>
        </is>
      </c>
      <c r="H58" t="inlineStr">
        <is>
          <t>DSC</t>
        </is>
      </c>
      <c r="I58" t="inlineStr">
        <is>
          <t>8</t>
        </is>
      </c>
      <c r="J58">
        <f>IMAGE("https://api.scryfall.com/cards/named?exact=Sandwurm%20Convergence&amp;format=image&amp;version=normal")</f>
        <v/>
      </c>
      <c r="K58" t="inlineStr">
        <is>
          <t>$0.36</t>
        </is>
      </c>
      <c r="L58" t="inlineStr">
        <is>
          <t>Creatures with flying can't attack you or planeswalkers you control. At the beginning of your end step, create a 5/5 green Wurm creature token.</t>
        </is>
      </c>
    </row>
    <row r="59" ht="270" customHeight="1">
      <c r="A59" t="inlineStr">
        <is>
          <t>1</t>
        </is>
      </c>
      <c r="B59" t="inlineStr">
        <is>
          <t>Savannah Lions</t>
        </is>
      </c>
      <c r="C59" t="b">
        <v>1</v>
      </c>
      <c r="D59" t="b">
        <v>0</v>
      </c>
      <c r="E59" t="inlineStr"/>
      <c r="F59" t="inlineStr">
        <is>
          <t>On Theme</t>
        </is>
      </c>
      <c r="G59" t="inlineStr">
        <is>
          <t>Common</t>
        </is>
      </c>
      <c r="H59" t="inlineStr">
        <is>
          <t>J25</t>
        </is>
      </c>
      <c r="I59" t="inlineStr">
        <is>
          <t>1</t>
        </is>
      </c>
      <c r="J59">
        <f>IMAGE("https://api.scryfall.com/cards/named?exact=Savannah%20Lions&amp;format=image&amp;version=normal")</f>
        <v/>
      </c>
      <c r="K59" t="inlineStr">
        <is>
          <t>$0.17</t>
        </is>
      </c>
      <c r="L59" t="inlineStr"/>
    </row>
    <row r="60" ht="270" customHeight="1">
      <c r="A60" t="inlineStr">
        <is>
          <t>1</t>
        </is>
      </c>
      <c r="B60" t="inlineStr">
        <is>
          <t>Selesnya Signet</t>
        </is>
      </c>
      <c r="C60" t="b">
        <v>1</v>
      </c>
      <c r="D60" t="b">
        <v>0</v>
      </c>
      <c r="E60" t="inlineStr"/>
      <c r="F60" t="inlineStr">
        <is>
          <t>Ramp</t>
        </is>
      </c>
      <c r="G60" t="inlineStr">
        <is>
          <t>Common</t>
        </is>
      </c>
      <c r="H60" t="inlineStr">
        <is>
          <t>TDC</t>
        </is>
      </c>
      <c r="I60" t="inlineStr">
        <is>
          <t>2</t>
        </is>
      </c>
      <c r="J60">
        <f>IMAGE("https://api.scryfall.com/cards/named?exact=Selesnya%20Signet&amp;format=image&amp;version=normal")</f>
        <v/>
      </c>
      <c r="K60" t="inlineStr">
        <is>
          <t>$0.43</t>
        </is>
      </c>
      <c r="L60" t="inlineStr">
        <is>
          <t>{1}, {T}: Add {G}{W}.</t>
        </is>
      </c>
    </row>
    <row r="61" ht="270" customHeight="1">
      <c r="A61" t="inlineStr">
        <is>
          <t>1</t>
        </is>
      </c>
      <c r="B61" t="inlineStr">
        <is>
          <t>Selvala, Heart of the Wilds</t>
        </is>
      </c>
      <c r="C61" t="b">
        <v>1</v>
      </c>
      <c r="D61" t="b">
        <v>0</v>
      </c>
      <c r="E61" t="inlineStr"/>
      <c r="F61" t="inlineStr">
        <is>
          <t>Ramp</t>
        </is>
      </c>
      <c r="G61" t="inlineStr">
        <is>
          <t>Mythic</t>
        </is>
      </c>
      <c r="H61" t="inlineStr">
        <is>
          <t>ECC</t>
        </is>
      </c>
      <c r="I61" t="inlineStr">
        <is>
          <t>3</t>
        </is>
      </c>
      <c r="J61">
        <f>IMAGE("https://api.scryfall.com/cards/named?exact=Selvala%2C%20Heart%20of%20the%20Wilds&amp;format=image&amp;version=normal")</f>
        <v/>
      </c>
      <c r="K61" t="inlineStr">
        <is>
          <t>$3.70</t>
        </is>
      </c>
      <c r="L61" t="inlineStr">
        <is>
          <t>Whenever another creature enters, its controller may draw a card if its power is greater than each other creature's power. {G}, {T}: Add X mana in any combination of colors, where X is the greatest power among creatures you control.</t>
        </is>
      </c>
    </row>
    <row r="62" ht="270" customHeight="1">
      <c r="A62" t="inlineStr">
        <is>
          <t>1</t>
        </is>
      </c>
      <c r="B62" t="inlineStr">
        <is>
          <t>Starfall Invocation</t>
        </is>
      </c>
      <c r="C62" t="b">
        <v>1</v>
      </c>
      <c r="D62" t="b">
        <v>0</v>
      </c>
      <c r="E62" t="inlineStr"/>
      <c r="F62" t="inlineStr">
        <is>
          <t>Wrath</t>
        </is>
      </c>
      <c r="G62" t="inlineStr">
        <is>
          <t>Rare</t>
        </is>
      </c>
      <c r="H62" t="inlineStr">
        <is>
          <t>BLB</t>
        </is>
      </c>
      <c r="I62" t="inlineStr">
        <is>
          <t>5</t>
        </is>
      </c>
      <c r="J62">
        <f>IMAGE("https://api.scryfall.com/cards/named?exact=Starfall%20Invocation&amp;format=image&amp;version=normal")</f>
        <v/>
      </c>
      <c r="K62" t="inlineStr">
        <is>
          <t>$0.89</t>
        </is>
      </c>
      <c r="L62" t="inlineStr">
        <is>
          <t>Gift a card (You may promise an opponent a gift as you cast this spell. If you do, they draw a card before its other effects.) Destroy all creatures. If the gift was promised, return a creature card put into your graveyard this way to the battlefield under your control.</t>
        </is>
      </c>
    </row>
    <row r="63" ht="270" customHeight="1">
      <c r="A63" t="inlineStr">
        <is>
          <t>1</t>
        </is>
      </c>
      <c r="B63" t="inlineStr">
        <is>
          <t>Suburban Sanctuary</t>
        </is>
      </c>
      <c r="C63" t="b">
        <v>1</v>
      </c>
      <c r="D63" t="b">
        <v>0</v>
      </c>
      <c r="E63" t="inlineStr"/>
      <c r="F63" t="inlineStr">
        <is>
          <t>Lands</t>
        </is>
      </c>
      <c r="G63" t="inlineStr">
        <is>
          <t>Common</t>
        </is>
      </c>
      <c r="H63" t="inlineStr">
        <is>
          <t>SPM</t>
        </is>
      </c>
      <c r="I63" t="inlineStr">
        <is>
          <t>0</t>
        </is>
      </c>
      <c r="J63">
        <f>IMAGE("https://api.scryfall.com/cards/named?exact=Suburban%20Sanctuary&amp;format=image&amp;version=normal")</f>
        <v/>
      </c>
      <c r="K63" t="inlineStr">
        <is>
          <t>$0.17</t>
        </is>
      </c>
      <c r="L63" t="inlineStr">
        <is>
          <t>This land enters tapped. {T}: Add {G} or {W}. {4}, {T}: Surveil 1. (Look at the top card of your library. You may put it into your graveyard.)</t>
        </is>
      </c>
    </row>
    <row r="64" ht="270" customHeight="1">
      <c r="A64" t="inlineStr">
        <is>
          <t>1</t>
        </is>
      </c>
      <c r="B64" t="inlineStr">
        <is>
          <t>Sundial, Dawn Tyrant</t>
        </is>
      </c>
      <c r="C64" t="b">
        <v>1</v>
      </c>
      <c r="D64" t="b">
        <v>0</v>
      </c>
      <c r="E64" t="inlineStr"/>
      <c r="F64" t="inlineStr">
        <is>
          <t>On Theme</t>
        </is>
      </c>
      <c r="G64" t="inlineStr">
        <is>
          <t>Uncommon</t>
        </is>
      </c>
      <c r="H64" t="inlineStr">
        <is>
          <t>DFT</t>
        </is>
      </c>
      <c r="I64" t="inlineStr">
        <is>
          <t>2</t>
        </is>
      </c>
      <c r="J64">
        <f>IMAGE("https://api.scryfall.com/cards/named?exact=Sundial%2C%20Dawn%20Tyrant&amp;format=image&amp;version=normal")</f>
        <v/>
      </c>
      <c r="K64" t="inlineStr">
        <is>
          <t>$0.16</t>
        </is>
      </c>
      <c r="L64" t="inlineStr"/>
    </row>
    <row r="65" ht="270" customHeight="1">
      <c r="A65" t="inlineStr">
        <is>
          <t>1</t>
        </is>
      </c>
      <c r="B65" t="inlineStr">
        <is>
          <t>Terrian, World Tyrant</t>
        </is>
      </c>
      <c r="C65" t="b">
        <v>1</v>
      </c>
      <c r="D65" t="b">
        <v>0</v>
      </c>
      <c r="E65" t="inlineStr"/>
      <c r="F65" t="inlineStr">
        <is>
          <t>On Theme</t>
        </is>
      </c>
      <c r="G65" t="inlineStr">
        <is>
          <t>Uncommon</t>
        </is>
      </c>
      <c r="H65" t="inlineStr">
        <is>
          <t>DFT</t>
        </is>
      </c>
      <c r="I65" t="inlineStr">
        <is>
          <t>5</t>
        </is>
      </c>
      <c r="J65">
        <f>IMAGE("https://api.scryfall.com/cards/named?exact=Terrian%2C%20World%20Tyrant&amp;format=image&amp;version=normal")</f>
        <v/>
      </c>
      <c r="K65" t="inlineStr">
        <is>
          <t>$0.25</t>
        </is>
      </c>
      <c r="L65" t="inlineStr"/>
    </row>
    <row r="66" ht="270" customHeight="1">
      <c r="A66" t="inlineStr">
        <is>
          <t>1</t>
        </is>
      </c>
      <c r="B66" t="inlineStr">
        <is>
          <t>Thriving Grove</t>
        </is>
      </c>
      <c r="C66" t="b">
        <v>1</v>
      </c>
      <c r="D66" t="b">
        <v>0</v>
      </c>
      <c r="E66" t="inlineStr"/>
      <c r="F66" t="inlineStr">
        <is>
          <t>Lands</t>
        </is>
      </c>
      <c r="G66" t="inlineStr">
        <is>
          <t>Common</t>
        </is>
      </c>
      <c r="H66" t="inlineStr">
        <is>
          <t>MSC</t>
        </is>
      </c>
      <c r="I66" t="inlineStr">
        <is>
          <t>0</t>
        </is>
      </c>
      <c r="J66">
        <f>IMAGE("https://api.scryfall.com/cards/named?exact=Thriving%20Grove&amp;format=image&amp;version=normal")</f>
        <v/>
      </c>
      <c r="K66" t="inlineStr">
        <is>
          <t>$0.24</t>
        </is>
      </c>
      <c r="L66" t="inlineStr">
        <is>
          <t>This land enters tapped. As it enters, choose a color other than green. {T}: Add {G} or one mana of the chosen color.</t>
        </is>
      </c>
    </row>
    <row r="67" ht="270" customHeight="1">
      <c r="A67" t="inlineStr">
        <is>
          <t>1</t>
        </is>
      </c>
      <c r="B67" t="inlineStr">
        <is>
          <t>Thriving Heath</t>
        </is>
      </c>
      <c r="C67" t="b">
        <v>1</v>
      </c>
      <c r="D67" t="b">
        <v>0</v>
      </c>
      <c r="E67" t="inlineStr"/>
      <c r="F67" t="inlineStr">
        <is>
          <t>Lands</t>
        </is>
      </c>
      <c r="G67" t="inlineStr">
        <is>
          <t>Common</t>
        </is>
      </c>
      <c r="H67" t="inlineStr">
        <is>
          <t>MSC</t>
        </is>
      </c>
      <c r="I67" t="inlineStr">
        <is>
          <t>0</t>
        </is>
      </c>
      <c r="J67">
        <f>IMAGE("https://api.scryfall.com/cards/named?exact=Thriving%20Heath&amp;format=image&amp;version=normal")</f>
        <v/>
      </c>
      <c r="K67" t="inlineStr">
        <is>
          <t>$0.24</t>
        </is>
      </c>
      <c r="L67" t="inlineStr">
        <is>
          <t>This land enters tapped. As it enters, choose a color other than white. {T}: Add {W} or one mana of the chosen color.</t>
        </is>
      </c>
    </row>
    <row r="68" ht="270" customHeight="1">
      <c r="A68" t="inlineStr">
        <is>
          <t>1</t>
        </is>
      </c>
      <c r="B68" t="inlineStr">
        <is>
          <t>Tireless Tracker</t>
        </is>
      </c>
      <c r="C68" t="b">
        <v>1</v>
      </c>
      <c r="D68" t="b">
        <v>0</v>
      </c>
      <c r="E68" t="inlineStr"/>
      <c r="F68" t="inlineStr">
        <is>
          <t>Card Advantage</t>
        </is>
      </c>
      <c r="G68" t="inlineStr">
        <is>
          <t>Rare</t>
        </is>
      </c>
      <c r="H68" t="inlineStr">
        <is>
          <t>EOC</t>
        </is>
      </c>
      <c r="I68" t="inlineStr">
        <is>
          <t>3</t>
        </is>
      </c>
      <c r="J68">
        <f>IMAGE("https://api.scryfall.com/cards/named?exact=Tireless%20Tracker&amp;format=image&amp;version=normal")</f>
        <v/>
      </c>
      <c r="K68" t="inlineStr">
        <is>
          <t>$0.23</t>
        </is>
      </c>
      <c r="L68" t="inlineStr">
        <is>
          <t>Landfall — Whenever a land you control enters, investigate. (Create a Clue token. It's an artifact with "{2}, Sacrifice this token: Draw a card.") Whenever you sacrifice a Clue, put a +1/+1 counter on this creature.</t>
        </is>
      </c>
    </row>
    <row r="69" ht="270" customHeight="1">
      <c r="A69" t="inlineStr">
        <is>
          <t>1</t>
        </is>
      </c>
      <c r="B69" t="inlineStr">
        <is>
          <t>Toski, Bearer of Secrets</t>
        </is>
      </c>
      <c r="C69" t="b">
        <v>1</v>
      </c>
      <c r="D69" t="b">
        <v>0</v>
      </c>
      <c r="E69" t="inlineStr"/>
      <c r="F69" t="inlineStr">
        <is>
          <t>Card Advantage</t>
        </is>
      </c>
      <c r="G69" t="inlineStr">
        <is>
          <t>Rare</t>
        </is>
      </c>
      <c r="H69" t="inlineStr">
        <is>
          <t>BLC</t>
        </is>
      </c>
      <c r="I69" t="inlineStr">
        <is>
          <t>4</t>
        </is>
      </c>
      <c r="J69">
        <f>IMAGE("https://api.scryfall.com/cards/named?exact=Toski%2C%20Bearer%20of%20Secrets&amp;format=image&amp;version=normal")</f>
        <v/>
      </c>
      <c r="K69" t="inlineStr">
        <is>
          <t>$5.60</t>
        </is>
      </c>
      <c r="L69" t="inlineStr">
        <is>
          <t>This spell can't be countered. Indestructible Toski attacks each combat if able. Whenever a creature you control deals combat damage to a player, draw a card.</t>
        </is>
      </c>
    </row>
    <row r="70" ht="270" customHeight="1">
      <c r="A70" t="inlineStr">
        <is>
          <t>1</t>
        </is>
      </c>
      <c r="B70" t="inlineStr">
        <is>
          <t>Tuinvale Treefolk // Oaken Boon</t>
        </is>
      </c>
      <c r="C70" t="b">
        <v>1</v>
      </c>
      <c r="D70" t="b">
        <v>0</v>
      </c>
      <c r="E70" t="inlineStr"/>
      <c r="F70" t="inlineStr">
        <is>
          <t>On Theme</t>
        </is>
      </c>
      <c r="G70" t="inlineStr">
        <is>
          <t>Common</t>
        </is>
      </c>
      <c r="H70" t="inlineStr">
        <is>
          <t>ELD</t>
        </is>
      </c>
      <c r="I70" t="inlineStr">
        <is>
          <t>6</t>
        </is>
      </c>
      <c r="J70">
        <f>IMAGE("https://api.scryfall.com/cards/named?exact=Tuinvale%20Treefolk%20//%20Oaken%20Boon&amp;format=image&amp;version=normal")</f>
        <v/>
      </c>
      <c r="K70" t="inlineStr">
        <is>
          <t>$0.20</t>
        </is>
      </c>
      <c r="L70" t="inlineStr"/>
    </row>
    <row r="71" ht="270" customHeight="1">
      <c r="A71" t="inlineStr">
        <is>
          <t>1</t>
        </is>
      </c>
      <c r="B71" t="inlineStr">
        <is>
          <t>Vorstclaw</t>
        </is>
      </c>
      <c r="C71" t="b">
        <v>1</v>
      </c>
      <c r="D71" t="b">
        <v>0</v>
      </c>
      <c r="E71" t="inlineStr"/>
      <c r="F71" t="inlineStr">
        <is>
          <t>On Theme</t>
        </is>
      </c>
      <c r="G71" t="inlineStr">
        <is>
          <t>Common</t>
        </is>
      </c>
      <c r="H71" t="inlineStr">
        <is>
          <t>M20</t>
        </is>
      </c>
      <c r="I71" t="inlineStr">
        <is>
          <t>6</t>
        </is>
      </c>
      <c r="J71">
        <f>IMAGE("https://api.scryfall.com/cards/named?exact=Vorstclaw&amp;format=image&amp;version=normal")</f>
        <v/>
      </c>
      <c r="K71" t="inlineStr">
        <is>
          <t>$0.17</t>
        </is>
      </c>
      <c r="L71" t="inlineStr"/>
    </row>
    <row r="72" ht="270" customHeight="1">
      <c r="A72" t="inlineStr">
        <is>
          <t>1</t>
        </is>
      </c>
      <c r="B72" t="inlineStr">
        <is>
          <t>Watchwolf</t>
        </is>
      </c>
      <c r="C72" t="b">
        <v>1</v>
      </c>
      <c r="D72" t="b">
        <v>0</v>
      </c>
      <c r="E72" t="inlineStr"/>
      <c r="F72" t="inlineStr">
        <is>
          <t>On Theme</t>
        </is>
      </c>
      <c r="G72" t="inlineStr">
        <is>
          <t>Uncommon</t>
        </is>
      </c>
      <c r="H72" t="inlineStr">
        <is>
          <t>A25</t>
        </is>
      </c>
      <c r="I72" t="inlineStr">
        <is>
          <t>2</t>
        </is>
      </c>
      <c r="J72">
        <f>IMAGE("https://api.scryfall.com/cards/named?exact=Watchwolf&amp;format=image&amp;version=normal")</f>
        <v/>
      </c>
      <c r="K72" t="inlineStr">
        <is>
          <t>$0.29</t>
        </is>
      </c>
      <c r="L72" t="inlineStr"/>
    </row>
    <row r="73" ht="270" customHeight="1">
      <c r="A73" t="inlineStr">
        <is>
          <t>1</t>
        </is>
      </c>
      <c r="B73" t="inlineStr">
        <is>
          <t>Wildest Dreams</t>
        </is>
      </c>
      <c r="C73" t="b">
        <v>1</v>
      </c>
      <c r="D73" t="b">
        <v>0</v>
      </c>
      <c r="E73" t="inlineStr"/>
      <c r="F73" t="inlineStr">
        <is>
          <t>On Theme</t>
        </is>
      </c>
      <c r="G73" t="inlineStr">
        <is>
          <t>Rare</t>
        </is>
      </c>
      <c r="H73" t="inlineStr">
        <is>
          <t>KLD</t>
        </is>
      </c>
      <c r="I73" t="inlineStr">
        <is>
          <t>1</t>
        </is>
      </c>
      <c r="J73">
        <f>IMAGE("https://api.scryfall.com/cards/named?exact=Wildest%20Dreams&amp;format=image&amp;version=normal")</f>
        <v/>
      </c>
      <c r="K73" t="inlineStr">
        <is>
          <t>$0.45</t>
        </is>
      </c>
      <c r="L73" t="inlineStr">
        <is>
          <t>Return X target cards from your graveyard to your hand. Exile Wildest Dreams.</t>
        </is>
      </c>
    </row>
    <row r="74" ht="270" customHeight="1">
      <c r="A74" t="inlineStr">
        <is>
          <t>1</t>
        </is>
      </c>
      <c r="B74" t="inlineStr">
        <is>
          <t>Zopandrel, Hunger Dominus</t>
        </is>
      </c>
      <c r="C74" t="b">
        <v>1</v>
      </c>
      <c r="D74" t="b">
        <v>0</v>
      </c>
      <c r="E74" t="inlineStr"/>
      <c r="F74" t="inlineStr">
        <is>
          <t>On Theme</t>
        </is>
      </c>
      <c r="G74" t="inlineStr">
        <is>
          <t>Mythic</t>
        </is>
      </c>
      <c r="H74" t="inlineStr">
        <is>
          <t>PONE</t>
        </is>
      </c>
      <c r="I74" t="inlineStr">
        <is>
          <t>7</t>
        </is>
      </c>
      <c r="J74">
        <f>IMAGE("https://api.scryfall.com/cards/named?exact=Zopandrel%2C%20Hunger%20Dominus&amp;format=image&amp;version=normal")</f>
        <v/>
      </c>
      <c r="K74" t="inlineStr">
        <is>
          <t>$12.46</t>
        </is>
      </c>
      <c r="L74" t="inlineStr">
        <is>
          <t>Reach At the beginning of each combat, double the power and toughness of each creature you control until end of turn. {G/P}{G/P}, Sacrifice two other creatures: Put an indestructible counter on Zopandrel. ({G/P} can be paid with either {G} or 2 life.)</t>
        </is>
      </c>
    </row>
    <row r="76">
      <c r="A76" t="inlineStr">
        <is>
          <t>Total Cost (Have Physical Copy = false)</t>
        </is>
      </c>
      <c r="K76" s="2">
        <f>SUMPRODUCT(--(LOWER(TEXT($C$2:$C$74,"@"))="false"),IFERROR(VALUE(SUBSTITUTE($K$2:$K$74,"$","")),0))</f>
        <v/>
      </c>
    </row>
  </sheetData>
  <conditionalFormatting sqref="C2:C74">
    <cfRule type="expression" priority="1" dxfId="0">
      <formula>=OR($C2=TRUE,LOWER(TEXT($C2,"@"))="true")</formula>
    </cfRule>
    <cfRule type="expression" priority="2" dxfId="1">
      <formula>=OR($C2=FALSE,LOWER(TEXT($C2,"@"))="false")</formula>
    </cfRule>
  </conditionalFormatting>
  <conditionalFormatting sqref="D2:D74">
    <cfRule type="expression" priority="3" dxfId="2">
      <formula>=OR($D2=TRUE,LOWER(TEXT($D2,"@"))="true")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Conditional formatting rules</t>
        </is>
      </c>
    </row>
    <row r="2">
      <c r="A2" t="inlineStr">
        <is>
          <t>Have Physical Copy: TRUE = green, FALSE = yellow</t>
        </is>
      </c>
    </row>
    <row r="3">
      <c r="A3" t="inlineStr">
        <is>
          <t>Cut: TRUE = red</t>
        </is>
      </c>
    </row>
    <row r="5">
      <c r="A5" t="inlineStr">
        <is>
          <t>Have Physical Copy formula (green)</t>
        </is>
      </c>
    </row>
    <row r="6">
      <c r="A6">
        <f>OR($C2=TRUE,LOWER(TEXT($C2,"@"))="true")</f>
        <v/>
      </c>
    </row>
    <row r="7">
      <c r="A7" t="inlineStr">
        <is>
          <t>Have Physical Copy formula (yellow)</t>
        </is>
      </c>
    </row>
    <row r="8">
      <c r="A8">
        <f>OR($C2=FALSE,LOWER(TEXT($C2,"@"))="false")</f>
        <v/>
      </c>
    </row>
    <row r="9">
      <c r="A9" t="inlineStr">
        <is>
          <t>Cut formula (red)</t>
        </is>
      </c>
    </row>
    <row r="10">
      <c r="A10">
        <f>OR($D2=TRUE,LOWER(TEXT($D2,"@"))="true")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2026-07-04T01:00:56Z</dcterms:created>
  <dcterms:modified xsi:type="dcterms:W3CDTF">2026-07-04T01:00:56Z</dcterms:modified>
</cp:coreProperties>
</file>