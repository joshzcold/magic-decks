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 sheetId="1" state="visible" r:id="rId1"/>
    <sheet name="Formatting"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F2CC"/>
          <bgColor rgb="00FFF2C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pane ySplit="1" topLeftCell="A2" activePane="bottomLeft" state="frozen"/>
      <selection pane="bottomLeft" activeCell="A1" sqref="A1"/>
    </sheetView>
  </sheetViews>
  <sheetFormatPr baseColWidth="8" defaultRowHeight="15"/>
  <cols>
    <col width="16.86" customWidth="1" min="1" max="1"/>
    <col width="16.86" customWidth="1" min="2" max="2"/>
    <col width="16.86" customWidth="1" min="3" max="3"/>
    <col width="16.86" customWidth="1" min="4" max="4"/>
    <col width="16.86" customWidth="1" min="5" max="5"/>
    <col width="16.86" customWidth="1" min="6" max="6"/>
    <col width="16.86" customWidth="1" min="7" max="7"/>
    <col width="16.86" customWidth="1" min="8" max="8"/>
    <col width="16.86" customWidth="1" min="9" max="9"/>
    <col width="101.16" customWidth="1" min="10" max="10"/>
    <col width="16.86" customWidth="1" min="11" max="11"/>
    <col width="16.86" customWidth="1" min="12" max="12"/>
  </cols>
  <sheetData>
    <row r="1">
      <c r="A1" s="1" t="inlineStr">
        <is>
          <t>Quantity</t>
        </is>
      </c>
      <c r="B1" s="1" t="inlineStr">
        <is>
          <t>Card Title</t>
        </is>
      </c>
      <c r="C1" s="1" t="inlineStr">
        <is>
          <t>Have Physical Copy</t>
        </is>
      </c>
      <c r="D1" s="1" t="inlineStr">
        <is>
          <t>Cut</t>
        </is>
      </c>
      <c r="E1" s="1" t="inlineStr">
        <is>
          <t>Cut Reason</t>
        </is>
      </c>
      <c r="F1" s="1" t="inlineStr">
        <is>
          <t>Deck Rule</t>
        </is>
      </c>
      <c r="G1" s="1" t="inlineStr">
        <is>
          <t>Rarity</t>
        </is>
      </c>
      <c r="H1" s="1" t="inlineStr">
        <is>
          <t>MTG Edition</t>
        </is>
      </c>
      <c r="I1" s="1" t="inlineStr">
        <is>
          <t>Mana Value</t>
        </is>
      </c>
      <c r="J1" s="1" t="inlineStr">
        <is>
          <t>Image</t>
        </is>
      </c>
      <c r="K1" s="1" t="inlineStr">
        <is>
          <t>Price</t>
        </is>
      </c>
      <c r="L1" s="1" t="inlineStr">
        <is>
          <t>Rule Text</t>
        </is>
      </c>
    </row>
    <row r="2" ht="270" customHeight="1">
      <c r="A2" t="inlineStr">
        <is>
          <t>1</t>
        </is>
      </c>
      <c r="B2" t="inlineStr">
        <is>
          <t>Arachnogenesis</t>
        </is>
      </c>
      <c r="C2" t="b">
        <v>1</v>
      </c>
      <c r="D2" t="b">
        <v>0</v>
      </c>
      <c r="E2" t="inlineStr"/>
      <c r="F2" t="inlineStr">
        <is>
          <t>On Theme</t>
        </is>
      </c>
      <c r="G2" t="inlineStr">
        <is>
          <t>Rare</t>
        </is>
      </c>
      <c r="H2" t="inlineStr">
        <is>
          <t>DSC</t>
        </is>
      </c>
      <c r="I2" t="inlineStr">
        <is>
          <t>3</t>
        </is>
      </c>
      <c r="J2">
        <f>IMAGE("https://api.scryfall.com/cards/named?exact=Arachnogenesis&amp;format=image&amp;version=normal")</f>
        <v/>
      </c>
      <c r="K2" t="inlineStr">
        <is>
          <t>$7.23</t>
        </is>
      </c>
      <c r="L2" t="inlineStr">
        <is>
          <t>Create X 1/2 green Spider creature tokens with reach, where X is the number of creatures attacking you. Prevent all combat damage that would be dealt this turn by non-Spider creatures.</t>
        </is>
      </c>
    </row>
    <row r="3" ht="270" customHeight="1">
      <c r="A3" t="inlineStr">
        <is>
          <t>1</t>
        </is>
      </c>
      <c r="B3" t="inlineStr">
        <is>
          <t>Arasta of the Endless Web</t>
        </is>
      </c>
      <c r="C3" t="b">
        <v>1</v>
      </c>
      <c r="D3" t="b">
        <v>0</v>
      </c>
      <c r="E3" t="inlineStr"/>
      <c r="F3" t="inlineStr">
        <is>
          <t>On Theme</t>
        </is>
      </c>
      <c r="G3" t="inlineStr">
        <is>
          <t>Rare</t>
        </is>
      </c>
      <c r="H3" t="inlineStr">
        <is>
          <t>TDC</t>
        </is>
      </c>
      <c r="I3" t="inlineStr">
        <is>
          <t>4</t>
        </is>
      </c>
      <c r="J3">
        <f>IMAGE("https://api.scryfall.com/cards/named?exact=Arasta%20of%20the%20Endless%20Web&amp;format=image&amp;version=normal")</f>
        <v/>
      </c>
      <c r="K3" t="inlineStr">
        <is>
          <t>$0.38</t>
        </is>
      </c>
      <c r="L3" t="inlineStr">
        <is>
          <t>Reach Whenever an opponent casts an instant or sorcery spell, create a 1/2 green Spider creature token with reach.</t>
        </is>
      </c>
    </row>
    <row r="4" ht="270" customHeight="1">
      <c r="A4" t="inlineStr">
        <is>
          <t>1</t>
        </is>
      </c>
      <c r="B4" t="inlineStr">
        <is>
          <t>Ba Sing Se</t>
        </is>
      </c>
      <c r="C4" t="b">
        <v>1</v>
      </c>
      <c r="D4" t="b">
        <v>0</v>
      </c>
      <c r="E4" t="inlineStr"/>
      <c r="F4" t="inlineStr">
        <is>
          <t>Lands</t>
        </is>
      </c>
      <c r="G4" t="inlineStr">
        <is>
          <t>Rare</t>
        </is>
      </c>
      <c r="H4" t="inlineStr">
        <is>
          <t>TLA</t>
        </is>
      </c>
      <c r="I4" t="inlineStr">
        <is>
          <t>0</t>
        </is>
      </c>
      <c r="J4">
        <f>IMAGE("https://api.scryfall.com/cards/named?exact=Ba%20Sing%20Se&amp;format=image&amp;version=normal")</f>
        <v/>
      </c>
      <c r="K4" t="inlineStr">
        <is>
          <t>$3.92</t>
        </is>
      </c>
      <c r="L4" t="inlineStr">
        <is>
          <t>This land enters tapped unless you control a basic land. {T}: Add {G}. {2}{G}, {T}: Earthbend 2. Activate only as a sorcery. (Target land you control becomes a 0/0 creature with haste that's still a land. Put two +1/+1 counters on it. When it dies or is exiled, return it to the battlefield tapped.)</t>
        </is>
      </c>
    </row>
    <row r="5" ht="270" customHeight="1">
      <c r="A5" t="inlineStr">
        <is>
          <t>1</t>
        </is>
      </c>
      <c r="B5" t="inlineStr">
        <is>
          <t>Blech, Loafing Pest</t>
        </is>
      </c>
      <c r="C5" t="b">
        <v>1</v>
      </c>
      <c r="D5" t="b">
        <v>0</v>
      </c>
      <c r="E5" t="inlineStr"/>
      <c r="F5" t="inlineStr">
        <is>
          <t>On Theme</t>
        </is>
      </c>
      <c r="G5" t="inlineStr">
        <is>
          <t>Rare</t>
        </is>
      </c>
      <c r="H5" t="inlineStr">
        <is>
          <t>PSOS</t>
        </is>
      </c>
      <c r="I5" t="inlineStr">
        <is>
          <t>3</t>
        </is>
      </c>
      <c r="J5">
        <f>IMAGE("https://api.scryfall.com/cards/named?exact=Blech%2C%20Loafing%20Pest&amp;format=image&amp;version=normal")</f>
        <v/>
      </c>
      <c r="K5" t="inlineStr">
        <is>
          <t>$0.88</t>
        </is>
      </c>
      <c r="L5" t="inlineStr">
        <is>
          <t>Whenever you gain life, put a +1/+1 counter on each Pest, Bat, Insect, Snake, and Spider you control.</t>
        </is>
      </c>
    </row>
    <row r="6" ht="270" customHeight="1">
      <c r="A6" t="inlineStr">
        <is>
          <t>1</t>
        </is>
      </c>
      <c r="B6" t="inlineStr">
        <is>
          <t>Blex, Vexing Pest // Search for Blex</t>
        </is>
      </c>
      <c r="C6" t="b">
        <v>1</v>
      </c>
      <c r="D6" t="b">
        <v>0</v>
      </c>
      <c r="E6" t="inlineStr"/>
      <c r="F6" t="inlineStr">
        <is>
          <t>On Theme</t>
        </is>
      </c>
      <c r="G6" t="inlineStr">
        <is>
          <t>Mythic</t>
        </is>
      </c>
      <c r="H6" t="inlineStr">
        <is>
          <t>STX</t>
        </is>
      </c>
      <c r="I6" t="inlineStr">
        <is>
          <t>3</t>
        </is>
      </c>
      <c r="J6">
        <f>IMAGE("https://api.scryfall.com/cards/named?exact=Blex%2C%20Vexing%20Pest%20//%20Search%20for%20Blex&amp;format=image&amp;version=normal")</f>
        <v/>
      </c>
      <c r="K6" t="inlineStr">
        <is>
          <t>$12.38</t>
        </is>
      </c>
      <c r="L6" t="inlineStr"/>
    </row>
    <row r="7" ht="270" customHeight="1">
      <c r="A7" t="inlineStr">
        <is>
          <t>1</t>
        </is>
      </c>
      <c r="B7" t="inlineStr">
        <is>
          <t>Bogwater Lumaret</t>
        </is>
      </c>
      <c r="C7" t="b">
        <v>1</v>
      </c>
      <c r="D7" t="b">
        <v>0</v>
      </c>
      <c r="E7" t="inlineStr"/>
      <c r="F7" t="inlineStr">
        <is>
          <t>On Theme</t>
        </is>
      </c>
      <c r="G7" t="inlineStr">
        <is>
          <t>Common</t>
        </is>
      </c>
      <c r="H7" t="inlineStr">
        <is>
          <t>SOS</t>
        </is>
      </c>
      <c r="I7" t="inlineStr">
        <is>
          <t>2</t>
        </is>
      </c>
      <c r="J7">
        <f>IMAGE("https://api.scryfall.com/cards/named?exact=Bogwater%20Lumaret&amp;format=image&amp;version=normal")</f>
        <v/>
      </c>
      <c r="K7" t="inlineStr">
        <is>
          <t>$0.27</t>
        </is>
      </c>
      <c r="L7" t="inlineStr">
        <is>
          <t>Whenever this creature or another creature you control enters, you gain 1 life.</t>
        </is>
      </c>
    </row>
    <row r="8" ht="270" customHeight="1">
      <c r="A8" t="inlineStr">
        <is>
          <t>1</t>
        </is>
      </c>
      <c r="B8" t="inlineStr">
        <is>
          <t>Brawn</t>
        </is>
      </c>
      <c r="C8" t="b">
        <v>0</v>
      </c>
      <c r="D8" t="b">
        <v>0</v>
      </c>
      <c r="E8" t="inlineStr"/>
      <c r="F8" t="inlineStr">
        <is>
          <t>On Theme</t>
        </is>
      </c>
      <c r="G8" t="inlineStr">
        <is>
          <t>Uncommon</t>
        </is>
      </c>
      <c r="H8" t="inlineStr">
        <is>
          <t>M3C</t>
        </is>
      </c>
      <c r="I8" t="inlineStr">
        <is>
          <t>4</t>
        </is>
      </c>
      <c r="J8">
        <f>IMAGE("https://api.scryfall.com/cards/named?exact=Brawn&amp;format=image&amp;version=normal")</f>
        <v/>
      </c>
      <c r="K8" t="inlineStr">
        <is>
          <t>$0.40</t>
        </is>
      </c>
      <c r="L8" t="inlineStr">
        <is>
          <t>Trample As long as this card is in your graveyard and you control a Forest, creatures you control have trample.</t>
        </is>
      </c>
    </row>
    <row r="9" ht="270" customHeight="1">
      <c r="A9" t="inlineStr">
        <is>
          <t>1</t>
        </is>
      </c>
      <c r="B9" t="inlineStr">
        <is>
          <t>Cauldron of Essence</t>
        </is>
      </c>
      <c r="C9" t="b">
        <v>1</v>
      </c>
      <c r="D9" t="b">
        <v>0</v>
      </c>
      <c r="E9" t="inlineStr"/>
      <c r="F9" t="inlineStr">
        <is>
          <t>On Theme</t>
        </is>
      </c>
      <c r="G9" t="inlineStr">
        <is>
          <t>Rare</t>
        </is>
      </c>
      <c r="H9" t="inlineStr">
        <is>
          <t>PSOS</t>
        </is>
      </c>
      <c r="I9" t="inlineStr">
        <is>
          <t>3</t>
        </is>
      </c>
      <c r="J9">
        <f>IMAGE("https://api.scryfall.com/cards/named?exact=Cauldron%20of%20Essence&amp;format=image&amp;version=normal")</f>
        <v/>
      </c>
      <c r="K9" t="inlineStr">
        <is>
          <t>$4.62</t>
        </is>
      </c>
      <c r="L9" t="inlineStr">
        <is>
          <t>Whenever a creature you control dies, each opponent loses 1 life and you gain 1 life. {1}{B}{G}, {T}, Sacrifice a creature: Return target creature card from your graveyard to the battlefield. Activate only as a sorcery.</t>
        </is>
      </c>
    </row>
    <row r="10" ht="270" customHeight="1">
      <c r="A10" t="inlineStr">
        <is>
          <t>1</t>
        </is>
      </c>
      <c r="B10" t="inlineStr">
        <is>
          <t>Command Tower</t>
        </is>
      </c>
      <c r="C10" t="b">
        <v>1</v>
      </c>
      <c r="D10" t="b">
        <v>0</v>
      </c>
      <c r="E10" t="inlineStr"/>
      <c r="F10" t="inlineStr">
        <is>
          <t>Lands</t>
        </is>
      </c>
      <c r="G10" t="inlineStr">
        <is>
          <t>Common</t>
        </is>
      </c>
      <c r="H10" t="inlineStr">
        <is>
          <t>MSC</t>
        </is>
      </c>
      <c r="I10" t="inlineStr">
        <is>
          <t>0</t>
        </is>
      </c>
      <c r="J10">
        <f>IMAGE("https://api.scryfall.com/cards/named?exact=Command%20Tower&amp;format=image&amp;version=normal")</f>
        <v/>
      </c>
      <c r="K10" t="inlineStr">
        <is>
          <t>$0.41</t>
        </is>
      </c>
      <c r="L10" t="inlineStr">
        <is>
          <t>{T}: Add one mana of any color in your commander's color identity.</t>
        </is>
      </c>
    </row>
    <row r="11" ht="270" customHeight="1">
      <c r="A11" t="inlineStr">
        <is>
          <t>1</t>
        </is>
      </c>
      <c r="B11" t="inlineStr">
        <is>
          <t>Cultivate</t>
        </is>
      </c>
      <c r="C11" t="b">
        <v>1</v>
      </c>
      <c r="D11" t="b">
        <v>0</v>
      </c>
      <c r="E11" t="inlineStr"/>
      <c r="F11" t="inlineStr">
        <is>
          <t>Ramp</t>
        </is>
      </c>
      <c r="G11" t="inlineStr">
        <is>
          <t>Common</t>
        </is>
      </c>
      <c r="H11" t="inlineStr">
        <is>
          <t>MSC</t>
        </is>
      </c>
      <c r="I11" t="inlineStr">
        <is>
          <t>3</t>
        </is>
      </c>
      <c r="J11">
        <f>IMAGE("https://api.scryfall.com/cards/named?exact=Cultivate&amp;format=image&amp;version=normal")</f>
        <v/>
      </c>
      <c r="K11" t="inlineStr">
        <is>
          <t>$0.35</t>
        </is>
      </c>
      <c r="L11" t="inlineStr">
        <is>
          <t>Search your library for up to two basic land cards, reveal those cards, put one onto the battlefield tapped and the other into your hand, then shuffle.</t>
        </is>
      </c>
    </row>
    <row r="12" ht="270" customHeight="1">
      <c r="A12" t="inlineStr">
        <is>
          <t>1</t>
        </is>
      </c>
      <c r="B12" t="inlineStr">
        <is>
          <t>Darkstar Augur</t>
        </is>
      </c>
      <c r="C12" t="b">
        <v>1</v>
      </c>
      <c r="D12" t="b">
        <v>0</v>
      </c>
      <c r="E12" t="inlineStr"/>
      <c r="F12" t="inlineStr">
        <is>
          <t>Card Advantage</t>
        </is>
      </c>
      <c r="G12" t="inlineStr">
        <is>
          <t>Rare</t>
        </is>
      </c>
      <c r="H12" t="inlineStr">
        <is>
          <t>BLB</t>
        </is>
      </c>
      <c r="I12" t="inlineStr">
        <is>
          <t>3</t>
        </is>
      </c>
      <c r="J12">
        <f>IMAGE("https://api.scryfall.com/cards/named?exact=Darkstar%20Augur&amp;format=image&amp;version=normal")</f>
        <v/>
      </c>
      <c r="K12" t="inlineStr">
        <is>
          <t>$0.86</t>
        </is>
      </c>
      <c r="L12" t="inlineStr">
        <is>
          <t>Offspring {B} (You may pay an additional {B} as you cast this spell. If you do, when this creature enters, create a 1/1 token copy of it.) Flying At the beginning of your upkeep, reveal the top card of your library and put that card into your hand. You lose life equal to its mana value.</t>
        </is>
      </c>
    </row>
    <row r="13" ht="270" customHeight="1">
      <c r="A13" t="inlineStr">
        <is>
          <t>1</t>
        </is>
      </c>
      <c r="B13" t="inlineStr">
        <is>
          <t>Deathcap Glade</t>
        </is>
      </c>
      <c r="C13" t="b">
        <v>1</v>
      </c>
      <c r="D13" t="b">
        <v>0</v>
      </c>
      <c r="E13" t="inlineStr"/>
      <c r="F13" t="inlineStr">
        <is>
          <t>Lands</t>
        </is>
      </c>
      <c r="G13" t="inlineStr">
        <is>
          <t>Rare</t>
        </is>
      </c>
      <c r="H13" t="inlineStr">
        <is>
          <t>SOS</t>
        </is>
      </c>
      <c r="I13" t="inlineStr">
        <is>
          <t>0</t>
        </is>
      </c>
      <c r="J13">
        <f>IMAGE("https://api.scryfall.com/cards/named?exact=Deathcap%20Glade&amp;format=image&amp;version=normal")</f>
        <v/>
      </c>
      <c r="K13" t="inlineStr">
        <is>
          <t>$2.09</t>
        </is>
      </c>
      <c r="L13" t="inlineStr">
        <is>
          <t>This land enters tapped unless you control two or more other lands. {T}: Add {B} or {G}.</t>
        </is>
      </c>
    </row>
    <row r="14" ht="270" customHeight="1">
      <c r="A14" t="inlineStr">
        <is>
          <t>1</t>
        </is>
      </c>
      <c r="B14" t="inlineStr">
        <is>
          <t>Duskshell Crawler</t>
        </is>
      </c>
      <c r="C14" t="b">
        <v>1</v>
      </c>
      <c r="D14" t="b">
        <v>0</v>
      </c>
      <c r="E14" t="inlineStr"/>
      <c r="F14" t="inlineStr">
        <is>
          <t>On Theme</t>
        </is>
      </c>
      <c r="G14" t="inlineStr">
        <is>
          <t>Common</t>
        </is>
      </c>
      <c r="H14" t="inlineStr">
        <is>
          <t>FIC</t>
        </is>
      </c>
      <c r="I14" t="inlineStr">
        <is>
          <t>2</t>
        </is>
      </c>
      <c r="J14">
        <f>IMAGE("https://api.scryfall.com/cards/named?exact=Duskshell%20Crawler&amp;format=image&amp;version=normal")</f>
        <v/>
      </c>
      <c r="K14" t="inlineStr">
        <is>
          <t>$0.33</t>
        </is>
      </c>
      <c r="L14" t="inlineStr">
        <is>
          <t>When this creature enters, put a +1/+1 counter on target creature. Each creature you control with a +1/+1 counter on it has trample. (It can deal excess combat damage to the player or planeswalker it's attacking.)</t>
        </is>
      </c>
    </row>
    <row r="15" ht="270" customHeight="1">
      <c r="A15" t="inlineStr">
        <is>
          <t>1</t>
        </is>
      </c>
      <c r="B15" t="inlineStr">
        <is>
          <t>Eccentric Pestfinder // Turn Stones</t>
        </is>
      </c>
      <c r="C15" t="b">
        <v>1</v>
      </c>
      <c r="D15" t="b">
        <v>0</v>
      </c>
      <c r="E15" t="inlineStr"/>
      <c r="F15" t="inlineStr">
        <is>
          <t>On Theme</t>
        </is>
      </c>
      <c r="G15" t="inlineStr">
        <is>
          <t>Rare</t>
        </is>
      </c>
      <c r="H15" t="inlineStr">
        <is>
          <t>SOC</t>
        </is>
      </c>
      <c r="I15" t="inlineStr">
        <is>
          <t>4</t>
        </is>
      </c>
      <c r="J15">
        <f>IMAGE("https://api.scryfall.com/cards/named?exact=Eccentric%20Pestfinder%20//%20Turn%20Stones&amp;format=image&amp;version=normal")</f>
        <v/>
      </c>
      <c r="K15" t="inlineStr">
        <is>
          <t>$0.36</t>
        </is>
      </c>
      <c r="L15" t="inlineStr"/>
    </row>
    <row r="16" ht="270" customHeight="1">
      <c r="A16" t="inlineStr">
        <is>
          <t>1</t>
        </is>
      </c>
      <c r="B16" t="inlineStr">
        <is>
          <t>Enduring Tenacity</t>
        </is>
      </c>
      <c r="C16" t="b">
        <v>1</v>
      </c>
      <c r="D16" t="b">
        <v>0</v>
      </c>
      <c r="E16" t="inlineStr"/>
      <c r="F16" t="inlineStr">
        <is>
          <t>On Theme</t>
        </is>
      </c>
      <c r="G16" t="inlineStr">
        <is>
          <t>Rare</t>
        </is>
      </c>
      <c r="H16" t="inlineStr">
        <is>
          <t>PDSK</t>
        </is>
      </c>
      <c r="I16" t="inlineStr">
        <is>
          <t>4</t>
        </is>
      </c>
      <c r="J16">
        <f>IMAGE("https://api.scryfall.com/cards/named?exact=Enduring%20Tenacity&amp;format=image&amp;version=normal")</f>
        <v/>
      </c>
      <c r="K16" t="inlineStr">
        <is>
          <t>$14.49</t>
        </is>
      </c>
      <c r="L16" t="inlineStr">
        <is>
          <t>Whenever you gain life, target opponent loses that much life. When Enduring Tenacity dies, if it was a creature, return it to the battlefield under its owner's control. It's an enchantment. (It's not a creature.)</t>
        </is>
      </c>
    </row>
    <row r="17" ht="270" customHeight="1">
      <c r="A17" t="inlineStr">
        <is>
          <t>1</t>
        </is>
      </c>
      <c r="B17" t="inlineStr">
        <is>
          <t>Epic Fight</t>
        </is>
      </c>
      <c r="C17" t="b">
        <v>1</v>
      </c>
      <c r="D17" t="b">
        <v>0</v>
      </c>
      <c r="E17" t="inlineStr"/>
      <c r="F17" t="inlineStr">
        <is>
          <t>Interaction</t>
        </is>
      </c>
      <c r="G17" t="inlineStr">
        <is>
          <t>Rare</t>
        </is>
      </c>
      <c r="H17" t="inlineStr">
        <is>
          <t>MSH</t>
        </is>
      </c>
      <c r="I17" t="inlineStr">
        <is>
          <t>3</t>
        </is>
      </c>
      <c r="J17">
        <f>IMAGE("https://api.scryfall.com/cards/named?exact=Epic%20Fight&amp;format=image&amp;version=normal")</f>
        <v/>
      </c>
      <c r="K17" t="inlineStr">
        <is>
          <t>$0.36</t>
        </is>
      </c>
      <c r="L17" t="inlineStr">
        <is>
          <t>Choose one or both — • Double target creature's power and toughness until end of turn. • Target creature you control fights target creature an opponent controls.</t>
        </is>
      </c>
    </row>
    <row r="18" ht="270" customHeight="1">
      <c r="A18" t="inlineStr">
        <is>
          <t>1</t>
        </is>
      </c>
      <c r="B18" t="inlineStr">
        <is>
          <t>Essence Warden</t>
        </is>
      </c>
      <c r="C18" t="b">
        <v>1</v>
      </c>
      <c r="D18" t="b">
        <v>0</v>
      </c>
      <c r="E18" t="inlineStr"/>
      <c r="F18" t="inlineStr">
        <is>
          <t>On Theme</t>
        </is>
      </c>
      <c r="G18" t="inlineStr">
        <is>
          <t>Common</t>
        </is>
      </c>
      <c r="H18" t="inlineStr">
        <is>
          <t>LTC</t>
        </is>
      </c>
      <c r="I18" t="inlineStr">
        <is>
          <t>1</t>
        </is>
      </c>
      <c r="J18">
        <f>IMAGE("https://api.scryfall.com/cards/named?exact=Essence%20Warden&amp;format=image&amp;version=normal")</f>
        <v/>
      </c>
      <c r="K18" t="inlineStr">
        <is>
          <t>$10.48</t>
        </is>
      </c>
      <c r="L18" t="inlineStr">
        <is>
          <t>Whenever another creature enters, you gain 1 life.</t>
        </is>
      </c>
    </row>
    <row r="19" ht="270" customHeight="1">
      <c r="A19" t="inlineStr">
        <is>
          <t>1</t>
        </is>
      </c>
      <c r="B19" t="inlineStr">
        <is>
          <t>Essenceknit Scholar</t>
        </is>
      </c>
      <c r="C19" t="b">
        <v>1</v>
      </c>
      <c r="D19" t="b">
        <v>0</v>
      </c>
      <c r="E19" t="inlineStr"/>
      <c r="F19" t="inlineStr">
        <is>
          <t>Card Advantage</t>
        </is>
      </c>
      <c r="G19" t="inlineStr">
        <is>
          <t>Uncommon</t>
        </is>
      </c>
      <c r="H19" t="inlineStr">
        <is>
          <t>SOS</t>
        </is>
      </c>
      <c r="I19" t="inlineStr">
        <is>
          <t>3</t>
        </is>
      </c>
      <c r="J19">
        <f>IMAGE("https://api.scryfall.com/cards/named?exact=Essenceknit%20Scholar&amp;format=image&amp;version=normal")</f>
        <v/>
      </c>
      <c r="K19" t="inlineStr">
        <is>
          <t>$0.28</t>
        </is>
      </c>
      <c r="L19" t="inlineStr">
        <is>
          <t>When this creature enters, create a 1/1 black and green Pest creature token with "Whenever this token attacks, you gain 1 life." At the beginning of your end step, if a creature died under your control this turn, draw a card.</t>
        </is>
      </c>
    </row>
    <row r="20" ht="270" customHeight="1">
      <c r="A20" t="inlineStr">
        <is>
          <t>1</t>
        </is>
      </c>
      <c r="B20" t="inlineStr">
        <is>
          <t>Eumidian Terrabotanist</t>
        </is>
      </c>
      <c r="C20" t="b">
        <v>1</v>
      </c>
      <c r="D20" t="b">
        <v>0</v>
      </c>
      <c r="E20" t="inlineStr"/>
      <c r="F20" t="inlineStr">
        <is>
          <t>On Theme</t>
        </is>
      </c>
      <c r="G20" t="inlineStr">
        <is>
          <t>Uncommon</t>
        </is>
      </c>
      <c r="H20" t="inlineStr">
        <is>
          <t>EOE</t>
        </is>
      </c>
      <c r="I20" t="inlineStr">
        <is>
          <t>2</t>
        </is>
      </c>
      <c r="J20">
        <f>IMAGE("https://api.scryfall.com/cards/named?exact=Eumidian%20Terrabotanist&amp;format=image&amp;version=normal")</f>
        <v/>
      </c>
      <c r="K20" t="inlineStr">
        <is>
          <t>$0.27</t>
        </is>
      </c>
      <c r="L20" t="inlineStr">
        <is>
          <t>Landfall — Whenever a land you control enters, you gain 1 life.</t>
        </is>
      </c>
    </row>
    <row r="21" ht="270" customHeight="1">
      <c r="A21" t="inlineStr">
        <is>
          <t>1</t>
        </is>
      </c>
      <c r="B21" t="inlineStr">
        <is>
          <t>Explore</t>
        </is>
      </c>
      <c r="C21" t="b">
        <v>1</v>
      </c>
      <c r="D21" t="b">
        <v>0</v>
      </c>
      <c r="E21" t="inlineStr"/>
      <c r="F21" t="inlineStr">
        <is>
          <t>Card Advantage</t>
        </is>
      </c>
      <c r="G21" t="inlineStr">
        <is>
          <t>Common</t>
        </is>
      </c>
      <c r="H21" t="inlineStr">
        <is>
          <t>TLE</t>
        </is>
      </c>
      <c r="I21" t="inlineStr">
        <is>
          <t>2</t>
        </is>
      </c>
      <c r="J21">
        <f>IMAGE("https://api.scryfall.com/cards/named?exact=Explore&amp;format=image&amp;version=normal")</f>
        <v/>
      </c>
      <c r="K21" t="inlineStr">
        <is>
          <t>$0.24</t>
        </is>
      </c>
      <c r="L21" t="inlineStr">
        <is>
          <t>You may play an additional land this turn. Draw a card.</t>
        </is>
      </c>
    </row>
    <row r="22" ht="270" customHeight="1">
      <c r="A22" t="inlineStr">
        <is>
          <t>1</t>
        </is>
      </c>
      <c r="B22" t="inlineStr">
        <is>
          <t>Foggy Bottom Swamp</t>
        </is>
      </c>
      <c r="C22" t="b">
        <v>1</v>
      </c>
      <c r="D22" t="b">
        <v>0</v>
      </c>
      <c r="E22" t="inlineStr"/>
      <c r="F22" t="inlineStr">
        <is>
          <t>Lands</t>
        </is>
      </c>
      <c r="G22" t="inlineStr">
        <is>
          <t>Common</t>
        </is>
      </c>
      <c r="H22" t="inlineStr">
        <is>
          <t>TLA</t>
        </is>
      </c>
      <c r="I22" t="inlineStr">
        <is>
          <t>0</t>
        </is>
      </c>
      <c r="J22">
        <f>IMAGE("https://api.scryfall.com/cards/named?exact=Foggy%20Bottom%20Swamp&amp;format=image&amp;version=normal")</f>
        <v/>
      </c>
      <c r="K22" t="inlineStr">
        <is>
          <t>$0.19</t>
        </is>
      </c>
      <c r="L22" t="inlineStr">
        <is>
          <t>This land enters tapped. {T}: Add {B} or {G}. {4}, {T}, Sacrifice this land: Draw a card.</t>
        </is>
      </c>
    </row>
    <row r="23" ht="270" customHeight="1">
      <c r="A23" t="inlineStr">
        <is>
          <t>12</t>
        </is>
      </c>
      <c r="B23" t="inlineStr">
        <is>
          <t>Forest</t>
        </is>
      </c>
      <c r="C23" t="b">
        <v>1</v>
      </c>
      <c r="D23" t="b">
        <v>0</v>
      </c>
      <c r="E23" t="inlineStr"/>
      <c r="F23" t="inlineStr">
        <is>
          <t>Lands</t>
        </is>
      </c>
      <c r="G23" t="inlineStr">
        <is>
          <t>Common</t>
        </is>
      </c>
      <c r="H23" t="inlineStr">
        <is>
          <t>HOB</t>
        </is>
      </c>
      <c r="I23" t="inlineStr">
        <is>
          <t>0</t>
        </is>
      </c>
      <c r="J23">
        <f>IMAGE("https://api.scryfall.com/cards/named?exact=Forest&amp;format=image&amp;version=normal")</f>
        <v/>
      </c>
      <c r="K23" t="inlineStr">
        <is>
          <t>$2.00</t>
        </is>
      </c>
      <c r="L23" t="inlineStr">
        <is>
          <t>({T}: Add {G}.)</t>
        </is>
      </c>
    </row>
    <row r="24" ht="270" customHeight="1">
      <c r="A24" t="inlineStr">
        <is>
          <t>1</t>
        </is>
      </c>
      <c r="B24" t="inlineStr">
        <is>
          <t>Fumulus, the Infestation</t>
        </is>
      </c>
      <c r="C24" t="b">
        <v>1</v>
      </c>
      <c r="D24" t="b">
        <v>0</v>
      </c>
      <c r="E24" t="inlineStr"/>
      <c r="F24" t="inlineStr">
        <is>
          <t>On Theme</t>
        </is>
      </c>
      <c r="G24" t="inlineStr">
        <is>
          <t>Rare</t>
        </is>
      </c>
      <c r="H24" t="inlineStr">
        <is>
          <t>J25</t>
        </is>
      </c>
      <c r="I24" t="inlineStr">
        <is>
          <t>4</t>
        </is>
      </c>
      <c r="J24">
        <f>IMAGE("https://api.scryfall.com/cards/named?exact=Fumulus%2C%20the%20Infestation&amp;format=image&amp;version=normal")</f>
        <v/>
      </c>
      <c r="K24" t="inlineStr">
        <is>
          <t>$7.89</t>
        </is>
      </c>
      <c r="L24" t="inlineStr">
        <is>
          <t>Flying, deathtouch Whenever a player sacrifices a nontoken creature, create a 1/1 black Insect creature token with flying. Whenever an Insect, Leech, Slug, or Worm you control attacks, defending player loses 1 life and you gain 1 life.</t>
        </is>
      </c>
    </row>
    <row r="25" ht="270" customHeight="1">
      <c r="A25" t="inlineStr">
        <is>
          <t>1</t>
        </is>
      </c>
      <c r="B25" t="inlineStr">
        <is>
          <t>Giant Adephage</t>
        </is>
      </c>
      <c r="C25" t="b">
        <v>1</v>
      </c>
      <c r="D25" t="b">
        <v>0</v>
      </c>
      <c r="E25" t="inlineStr"/>
      <c r="F25" t="inlineStr">
        <is>
          <t>On Theme</t>
        </is>
      </c>
      <c r="G25" t="inlineStr">
        <is>
          <t>Mythic</t>
        </is>
      </c>
      <c r="H25" t="inlineStr">
        <is>
          <t>DSC</t>
        </is>
      </c>
      <c r="I25" t="inlineStr">
        <is>
          <t>7</t>
        </is>
      </c>
      <c r="J25">
        <f>IMAGE("https://api.scryfall.com/cards/named?exact=Giant%20Adephage&amp;format=image&amp;version=normal")</f>
        <v/>
      </c>
      <c r="K25" t="inlineStr">
        <is>
          <t>$0.39</t>
        </is>
      </c>
      <c r="L25" t="inlineStr">
        <is>
          <t>Trample Whenever this creature deals combat damage to a player, create a token that's a copy of this creature.</t>
        </is>
      </c>
    </row>
    <row r="26" ht="270" customHeight="1">
      <c r="A26" t="inlineStr">
        <is>
          <t>1</t>
        </is>
      </c>
      <c r="B26" t="inlineStr">
        <is>
          <t>Go for the Throat</t>
        </is>
      </c>
      <c r="C26" t="b">
        <v>1</v>
      </c>
      <c r="D26" t="b">
        <v>0</v>
      </c>
      <c r="E26" t="inlineStr"/>
      <c r="F26" t="inlineStr">
        <is>
          <t>Interaction</t>
        </is>
      </c>
      <c r="G26" t="inlineStr">
        <is>
          <t>Uncommon</t>
        </is>
      </c>
      <c r="H26" t="inlineStr">
        <is>
          <t>J25</t>
        </is>
      </c>
      <c r="I26" t="inlineStr">
        <is>
          <t>2</t>
        </is>
      </c>
      <c r="J26">
        <f>IMAGE("https://api.scryfall.com/cards/named?exact=Go%20for%20the%20Throat&amp;format=image&amp;version=normal")</f>
        <v/>
      </c>
      <c r="K26" t="inlineStr">
        <is>
          <t>$0.36</t>
        </is>
      </c>
      <c r="L26" t="inlineStr">
        <is>
          <t>Destroy target nonartifact creature.</t>
        </is>
      </c>
    </row>
    <row r="27" ht="270" customHeight="1">
      <c r="A27" t="inlineStr">
        <is>
          <t>1</t>
        </is>
      </c>
      <c r="B27" t="inlineStr">
        <is>
          <t>Grapple with Death</t>
        </is>
      </c>
      <c r="C27" t="b">
        <v>1</v>
      </c>
      <c r="D27" t="b">
        <v>0</v>
      </c>
      <c r="E27" t="inlineStr"/>
      <c r="F27" t="inlineStr">
        <is>
          <t>Interaction</t>
        </is>
      </c>
      <c r="G27" t="inlineStr">
        <is>
          <t>Common</t>
        </is>
      </c>
      <c r="H27" t="inlineStr">
        <is>
          <t>SOS</t>
        </is>
      </c>
      <c r="I27" t="inlineStr">
        <is>
          <t>3</t>
        </is>
      </c>
      <c r="J27">
        <f>IMAGE("https://api.scryfall.com/cards/named?exact=Grapple%20with%20Death&amp;format=image&amp;version=normal")</f>
        <v/>
      </c>
      <c r="K27" t="inlineStr">
        <is>
          <t>$0.19</t>
        </is>
      </c>
      <c r="L27" t="inlineStr">
        <is>
          <t>Destroy target artifact or creature. You gain 1 life.</t>
        </is>
      </c>
    </row>
    <row r="28" ht="270" customHeight="1">
      <c r="A28" t="inlineStr">
        <is>
          <t>1</t>
        </is>
      </c>
      <c r="B28" t="inlineStr">
        <is>
          <t>Guy in the Chair</t>
        </is>
      </c>
      <c r="C28" t="b">
        <v>1</v>
      </c>
      <c r="D28" t="b">
        <v>0</v>
      </c>
      <c r="E28" t="inlineStr"/>
      <c r="F28" t="inlineStr">
        <is>
          <t>Ramp</t>
        </is>
      </c>
      <c r="G28" t="inlineStr">
        <is>
          <t>Common</t>
        </is>
      </c>
      <c r="H28" t="inlineStr">
        <is>
          <t>SPM</t>
        </is>
      </c>
      <c r="I28" t="inlineStr">
        <is>
          <t>3</t>
        </is>
      </c>
      <c r="J28">
        <f>IMAGE("https://api.scryfall.com/cards/named?exact=Guy%20in%20the%20Chair&amp;format=image&amp;version=normal")</f>
        <v/>
      </c>
      <c r="K28" t="inlineStr">
        <is>
          <t>$0.16</t>
        </is>
      </c>
      <c r="L28" t="inlineStr">
        <is>
          <t>{T}: Add one mana of any color. Web Support — {2}{G}, {T}: Put a +1/+1 counter on target Spider. Activate only as a sorcery.</t>
        </is>
      </c>
    </row>
    <row r="29" ht="270" customHeight="1">
      <c r="A29" t="inlineStr">
        <is>
          <t>1</t>
        </is>
      </c>
      <c r="B29" t="inlineStr">
        <is>
          <t>Gwenom, Remorseless</t>
        </is>
      </c>
      <c r="C29" t="b">
        <v>1</v>
      </c>
      <c r="D29" t="b">
        <v>0</v>
      </c>
      <c r="E29" t="inlineStr"/>
      <c r="F29" t="inlineStr">
        <is>
          <t>Card Advantage</t>
        </is>
      </c>
      <c r="G29" t="inlineStr">
        <is>
          <t>Mythic</t>
        </is>
      </c>
      <c r="H29" t="inlineStr">
        <is>
          <t>SPM</t>
        </is>
      </c>
      <c r="I29" t="inlineStr">
        <is>
          <t>5</t>
        </is>
      </c>
      <c r="J29">
        <f>IMAGE("https://api.scryfall.com/cards/named?exact=Gwenom%2C%20Remorseless&amp;format=image&amp;version=normal")</f>
        <v/>
      </c>
      <c r="K29" t="inlineStr">
        <is>
          <t>$5.06</t>
        </is>
      </c>
      <c r="L29" t="inlineStr">
        <is>
          <t>Deathtouch, lifelink Whenever Gwenom attacks, until end of turn, you may look at the top card of your library any time and you may play cards from the top of your library. If you cast a spell this way, pay life equal to its mana value rather than pay its mana cost.</t>
        </is>
      </c>
    </row>
    <row r="30" ht="270" customHeight="1">
      <c r="A30" t="inlineStr">
        <is>
          <t>1</t>
        </is>
      </c>
      <c r="B30" t="inlineStr">
        <is>
          <t>Harmonize</t>
        </is>
      </c>
      <c r="C30" t="b">
        <v>1</v>
      </c>
      <c r="D30" t="b">
        <v>0</v>
      </c>
      <c r="E30" t="inlineStr"/>
      <c r="F30" t="inlineStr">
        <is>
          <t>Card Advantage</t>
        </is>
      </c>
      <c r="G30" t="inlineStr">
        <is>
          <t>Uncommon</t>
        </is>
      </c>
      <c r="H30" t="inlineStr">
        <is>
          <t>MSC</t>
        </is>
      </c>
      <c r="I30" t="inlineStr">
        <is>
          <t>4</t>
        </is>
      </c>
      <c r="J30">
        <f>IMAGE("https://api.scryfall.com/cards/named?exact=Harmonize&amp;format=image&amp;version=normal")</f>
        <v/>
      </c>
      <c r="K30" t="inlineStr">
        <is>
          <t>$0.22</t>
        </is>
      </c>
      <c r="L30" t="inlineStr">
        <is>
          <t>Draw three cards.</t>
        </is>
      </c>
    </row>
    <row r="31" ht="270" customHeight="1">
      <c r="A31" t="inlineStr">
        <is>
          <t>1</t>
        </is>
      </c>
      <c r="B31" t="inlineStr">
        <is>
          <t>Hidden Grotto</t>
        </is>
      </c>
      <c r="C31" t="b">
        <v>1</v>
      </c>
      <c r="D31" t="b">
        <v>0</v>
      </c>
      <c r="E31" t="inlineStr"/>
      <c r="F31" t="inlineStr">
        <is>
          <t>Lands</t>
        </is>
      </c>
      <c r="G31" t="inlineStr">
        <is>
          <t>Common</t>
        </is>
      </c>
      <c r="H31" t="inlineStr">
        <is>
          <t>BLB</t>
        </is>
      </c>
      <c r="I31" t="inlineStr">
        <is>
          <t>0</t>
        </is>
      </c>
      <c r="J31">
        <f>IMAGE("https://api.scryfall.com/cards/named?exact=Hidden%20Grotto&amp;format=image&amp;version=normal")</f>
        <v/>
      </c>
      <c r="K31" t="inlineStr">
        <is>
          <t>$0.24</t>
        </is>
      </c>
      <c r="L31" t="inlineStr">
        <is>
          <t>When this land enters, surveil 1. (Look at the top card of your library. You may put it into your graveyard.) {T}: Add {C}. {1}, {T}: Add one mana of any color.</t>
        </is>
      </c>
    </row>
    <row r="32" ht="270" customHeight="1">
      <c r="A32" t="inlineStr">
        <is>
          <t>1</t>
        </is>
      </c>
      <c r="B32" t="inlineStr">
        <is>
          <t>Hooded Hydra</t>
        </is>
      </c>
      <c r="C32" t="b">
        <v>1</v>
      </c>
      <c r="D32" t="b">
        <v>0</v>
      </c>
      <c r="E32" t="inlineStr"/>
      <c r="F32" t="inlineStr">
        <is>
          <t>On Theme</t>
        </is>
      </c>
      <c r="G32" t="inlineStr">
        <is>
          <t>Mythic</t>
        </is>
      </c>
      <c r="H32" t="inlineStr">
        <is>
          <t>MKC</t>
        </is>
      </c>
      <c r="I32" t="inlineStr">
        <is>
          <t>2</t>
        </is>
      </c>
      <c r="J32">
        <f>IMAGE("https://api.scryfall.com/cards/named?exact=Hooded%20Hydra&amp;format=image&amp;version=normal")</f>
        <v/>
      </c>
      <c r="K32" t="inlineStr">
        <is>
          <t>$2.29</t>
        </is>
      </c>
      <c r="L32" t="inlineStr">
        <is>
          <t>This creature enters with X +1/+1 counters on it. When this creature dies, create a 1/1 green Snake creature token for each +1/+1 counter on it. Morph {3}{G}{G} As this creature is turned face up, put five +1/+1 counters on it.</t>
        </is>
      </c>
    </row>
    <row r="33" ht="270" customHeight="1">
      <c r="A33" t="inlineStr">
        <is>
          <t>1</t>
        </is>
      </c>
      <c r="B33" t="inlineStr">
        <is>
          <t>Hornet Nest</t>
        </is>
      </c>
      <c r="C33" t="b">
        <v>1</v>
      </c>
      <c r="D33" t="b">
        <v>0</v>
      </c>
      <c r="E33" t="inlineStr"/>
      <c r="F33" t="inlineStr">
        <is>
          <t>On Theme</t>
        </is>
      </c>
      <c r="G33" t="inlineStr">
        <is>
          <t>Rare</t>
        </is>
      </c>
      <c r="H33" t="inlineStr">
        <is>
          <t>TDC</t>
        </is>
      </c>
      <c r="I33" t="inlineStr">
        <is>
          <t>3</t>
        </is>
      </c>
      <c r="J33">
        <f>IMAGE("https://api.scryfall.com/cards/named?exact=Hornet%20Nest&amp;format=image&amp;version=normal")</f>
        <v/>
      </c>
      <c r="K33" t="inlineStr">
        <is>
          <t>$0.35</t>
        </is>
      </c>
      <c r="L33" t="inlineStr">
        <is>
          <t>Defender (This creature can't attack.) Whenever this creature is dealt damage, create that many 1/1 green Insect creature tokens with flying and deathtouch. (Any amount of damage a creature with deathtouch deals to a creature is enough to destroy it.)</t>
        </is>
      </c>
    </row>
    <row r="34" ht="270" customHeight="1">
      <c r="A34" t="inlineStr">
        <is>
          <t>1</t>
        </is>
      </c>
      <c r="B34" t="inlineStr">
        <is>
          <t>Hornet Queen</t>
        </is>
      </c>
      <c r="C34" t="b">
        <v>1</v>
      </c>
      <c r="D34" t="b">
        <v>0</v>
      </c>
      <c r="E34" t="inlineStr"/>
      <c r="F34" t="inlineStr">
        <is>
          <t>On Theme</t>
        </is>
      </c>
      <c r="G34" t="inlineStr">
        <is>
          <t>Rare</t>
        </is>
      </c>
      <c r="H34" t="inlineStr">
        <is>
          <t>DSC</t>
        </is>
      </c>
      <c r="I34" t="inlineStr">
        <is>
          <t>7</t>
        </is>
      </c>
      <c r="J34">
        <f>IMAGE("https://api.scryfall.com/cards/named?exact=Hornet%20Queen&amp;format=image&amp;version=normal")</f>
        <v/>
      </c>
      <c r="K34" t="inlineStr">
        <is>
          <t>$0.35</t>
        </is>
      </c>
      <c r="L34" t="inlineStr">
        <is>
          <t>Flying, deathtouch When this creature enters, create four 1/1 green Insect creature tokens with flying and deathtouch.</t>
        </is>
      </c>
    </row>
    <row r="35" ht="270" customHeight="1">
      <c r="A35" t="inlineStr">
        <is>
          <t>1</t>
        </is>
      </c>
      <c r="B35" t="inlineStr">
        <is>
          <t>Marauding Blight-Priest</t>
        </is>
      </c>
      <c r="C35" t="b">
        <v>1</v>
      </c>
      <c r="D35" t="b">
        <v>0</v>
      </c>
      <c r="E35" t="inlineStr"/>
      <c r="F35" t="inlineStr">
        <is>
          <t>On Theme</t>
        </is>
      </c>
      <c r="G35" t="inlineStr">
        <is>
          <t>Common</t>
        </is>
      </c>
      <c r="H35" t="inlineStr">
        <is>
          <t>FDN</t>
        </is>
      </c>
      <c r="I35" t="inlineStr">
        <is>
          <t>3</t>
        </is>
      </c>
      <c r="J35">
        <f>IMAGE("https://api.scryfall.com/cards/named?exact=Marauding%20Blight-Priest&amp;format=image&amp;version=normal")</f>
        <v/>
      </c>
      <c r="K35" t="inlineStr">
        <is>
          <t>$0.28</t>
        </is>
      </c>
      <c r="L35" t="inlineStr">
        <is>
          <t>Whenever you gain life, each opponent loses 1 life.</t>
        </is>
      </c>
    </row>
    <row r="36" ht="270" customHeight="1">
      <c r="A36" t="inlineStr">
        <is>
          <t>1</t>
        </is>
      </c>
      <c r="B36" t="inlineStr">
        <is>
          <t>March of the World Ooze</t>
        </is>
      </c>
      <c r="C36" t="b">
        <v>1</v>
      </c>
      <c r="D36" t="b">
        <v>0</v>
      </c>
      <c r="E36" t="inlineStr"/>
      <c r="F36" t="inlineStr">
        <is>
          <t>On Theme</t>
        </is>
      </c>
      <c r="G36" t="inlineStr">
        <is>
          <t>Mythic</t>
        </is>
      </c>
      <c r="H36" t="inlineStr">
        <is>
          <t>PDFT</t>
        </is>
      </c>
      <c r="I36" t="inlineStr">
        <is>
          <t>6</t>
        </is>
      </c>
      <c r="J36">
        <f>IMAGE("https://api.scryfall.com/cards/named?exact=March%20of%20the%20World%20Ooze&amp;format=image&amp;version=normal")</f>
        <v/>
      </c>
      <c r="K36" t="inlineStr">
        <is>
          <t>$2.12</t>
        </is>
      </c>
      <c r="L36" t="inlineStr">
        <is>
          <t>Creatures you control have base power and toughness 6/6 and are Oozes in addition to their other types. Whenever an opponent casts a spell, if it's not their turn, you create a 3/3 green Elephant creature token.</t>
        </is>
      </c>
    </row>
    <row r="37" ht="270" customHeight="1">
      <c r="A37" t="inlineStr">
        <is>
          <t>1</t>
        </is>
      </c>
      <c r="B37" t="inlineStr">
        <is>
          <t>Michelangelo, Weirdness to 11</t>
        </is>
      </c>
      <c r="C37" t="b">
        <v>1</v>
      </c>
      <c r="D37" t="b">
        <v>0</v>
      </c>
      <c r="E37" t="inlineStr"/>
      <c r="F37" t="inlineStr">
        <is>
          <t>On Theme</t>
        </is>
      </c>
      <c r="G37" t="inlineStr">
        <is>
          <t>Rare</t>
        </is>
      </c>
      <c r="H37" t="inlineStr">
        <is>
          <t>TMT</t>
        </is>
      </c>
      <c r="I37" t="inlineStr">
        <is>
          <t>2</t>
        </is>
      </c>
      <c r="J37">
        <f>IMAGE("https://api.scryfall.com/cards/named?exact=Michelangelo%2C%20Weirdness%20to%2011&amp;format=image&amp;version=normal")</f>
        <v/>
      </c>
      <c r="K37" t="inlineStr">
        <is>
          <t>$3.02</t>
        </is>
      </c>
      <c r="L37" t="inlineStr">
        <is>
          <t>When Michelangelo enters, create a Mutagen token. (It's an artifact with "{1}, {T}, Sacrifice this token: Put a +1/+1 counter on target creature. Activate only as a sorcery.") If one or more +1/+1 counters would be put on a creature you control, that many plus one +1/+1 counters are put on it instead.</t>
        </is>
      </c>
    </row>
    <row r="38" ht="270" customHeight="1">
      <c r="A38" t="inlineStr">
        <is>
          <t>1</t>
        </is>
      </c>
      <c r="B38" t="inlineStr">
        <is>
          <t>Moseo, Vein's New Dean</t>
        </is>
      </c>
      <c r="C38" t="b">
        <v>1</v>
      </c>
      <c r="D38" t="b">
        <v>0</v>
      </c>
      <c r="E38" t="inlineStr"/>
      <c r="F38" t="inlineStr">
        <is>
          <t>On Theme</t>
        </is>
      </c>
      <c r="G38" t="inlineStr">
        <is>
          <t>Rare</t>
        </is>
      </c>
      <c r="H38" t="inlineStr">
        <is>
          <t>SOS</t>
        </is>
      </c>
      <c r="I38" t="inlineStr">
        <is>
          <t>3</t>
        </is>
      </c>
      <c r="J38">
        <f>IMAGE("https://api.scryfall.com/cards/named?exact=Moseo%2C%20Vein%27s%20New%20Dean&amp;format=image&amp;version=normal")</f>
        <v/>
      </c>
      <c r="K38" t="inlineStr">
        <is>
          <t>$1.14</t>
        </is>
      </c>
      <c r="L38" t="inlineStr">
        <is>
          <t>Flying When Moseo enters, create a 1/1 black and green Pest creature token with "Whenever this token attacks, you gain 1 life." Infusion — At the beginning of your end step, if you gained life this turn, return up to one target creature card with mana value X or less from your graveyard to the battlefield, where X is the amount of life you gained this turn.</t>
        </is>
      </c>
    </row>
    <row r="39" ht="270" customHeight="1">
      <c r="A39" t="inlineStr">
        <is>
          <t>1</t>
        </is>
      </c>
      <c r="B39" t="inlineStr">
        <is>
          <t>Mudflat Village</t>
        </is>
      </c>
      <c r="C39" t="b">
        <v>1</v>
      </c>
      <c r="D39" t="b">
        <v>0</v>
      </c>
      <c r="E39" t="inlineStr"/>
      <c r="F39" t="inlineStr">
        <is>
          <t>Lands</t>
        </is>
      </c>
      <c r="G39" t="inlineStr">
        <is>
          <t>Uncommon</t>
        </is>
      </c>
      <c r="H39" t="inlineStr">
        <is>
          <t>BLB</t>
        </is>
      </c>
      <c r="I39" t="inlineStr">
        <is>
          <t>0</t>
        </is>
      </c>
      <c r="J39">
        <f>IMAGE("https://api.scryfall.com/cards/named?exact=Mudflat%20Village&amp;format=image&amp;version=normal")</f>
        <v/>
      </c>
      <c r="K39" t="inlineStr">
        <is>
          <t>$0.34</t>
        </is>
      </c>
      <c r="L39" t="inlineStr">
        <is>
          <t>{T}: Add {C}. {T}: Add {B}. Spend this mana only to cast a creature spell. {1}{B}, {T}, Sacrifice this land: Return target Bat, Lizard, Rat, or Squirrel card from your graveyard to your hand.</t>
        </is>
      </c>
    </row>
    <row r="40" ht="270" customHeight="1">
      <c r="A40" t="inlineStr">
        <is>
          <t>1</t>
        </is>
      </c>
      <c r="B40" t="inlineStr">
        <is>
          <t>Murder</t>
        </is>
      </c>
      <c r="C40" t="b">
        <v>1</v>
      </c>
      <c r="D40" t="b">
        <v>0</v>
      </c>
      <c r="E40" t="inlineStr"/>
      <c r="F40" t="inlineStr">
        <is>
          <t>Interaction</t>
        </is>
      </c>
      <c r="G40" t="inlineStr">
        <is>
          <t>Common</t>
        </is>
      </c>
      <c r="H40" t="inlineStr">
        <is>
          <t>J25</t>
        </is>
      </c>
      <c r="I40" t="inlineStr">
        <is>
          <t>3</t>
        </is>
      </c>
      <c r="J40">
        <f>IMAGE("https://api.scryfall.com/cards/named?exact=Murder&amp;format=image&amp;version=normal")</f>
        <v/>
      </c>
      <c r="K40" t="inlineStr">
        <is>
          <t>$0.29</t>
        </is>
      </c>
      <c r="L40" t="inlineStr">
        <is>
          <t>Destroy target creature.</t>
        </is>
      </c>
    </row>
    <row r="41" ht="270" customHeight="1">
      <c r="A41" t="inlineStr">
        <is>
          <t>1</t>
        </is>
      </c>
      <c r="B41" t="inlineStr">
        <is>
          <t>Naturalize</t>
        </is>
      </c>
      <c r="C41" t="b">
        <v>1</v>
      </c>
      <c r="D41" t="b">
        <v>0</v>
      </c>
      <c r="E41" t="inlineStr"/>
      <c r="F41" t="inlineStr">
        <is>
          <t>Interaction</t>
        </is>
      </c>
      <c r="G41" t="inlineStr">
        <is>
          <t>Common</t>
        </is>
      </c>
      <c r="H41" t="inlineStr">
        <is>
          <t>PLST</t>
        </is>
      </c>
      <c r="I41" t="inlineStr">
        <is>
          <t>2</t>
        </is>
      </c>
      <c r="J41">
        <f>IMAGE("https://api.scryfall.com/cards/named?exact=Naturalize&amp;format=image&amp;version=normal")</f>
        <v/>
      </c>
      <c r="K41" t="inlineStr">
        <is>
          <t>$0.29</t>
        </is>
      </c>
      <c r="L41" t="inlineStr">
        <is>
          <t>Destroy target artifact or enchantment.</t>
        </is>
      </c>
    </row>
    <row r="42" ht="270" customHeight="1">
      <c r="A42" t="inlineStr">
        <is>
          <t>1</t>
        </is>
      </c>
      <c r="B42" t="inlineStr">
        <is>
          <t>Ohran Frostfang</t>
        </is>
      </c>
      <c r="C42" t="b">
        <v>1</v>
      </c>
      <c r="D42" t="b">
        <v>0</v>
      </c>
      <c r="E42" t="inlineStr"/>
      <c r="F42" t="inlineStr">
        <is>
          <t>Card Advantage</t>
        </is>
      </c>
      <c r="G42" t="inlineStr">
        <is>
          <t>Rare</t>
        </is>
      </c>
      <c r="H42" t="inlineStr">
        <is>
          <t>SOC</t>
        </is>
      </c>
      <c r="I42" t="inlineStr">
        <is>
          <t>5</t>
        </is>
      </c>
      <c r="J42">
        <f>IMAGE("https://api.scryfall.com/cards/named?exact=Ohran%20Frostfang&amp;format=image&amp;version=normal")</f>
        <v/>
      </c>
      <c r="K42" t="inlineStr">
        <is>
          <t>$5.04</t>
        </is>
      </c>
      <c r="L42" t="inlineStr">
        <is>
          <t>Attacking creatures you control have deathtouch. Whenever a creature you control deals combat damage to a player, draw a card.</t>
        </is>
      </c>
    </row>
    <row r="43" ht="270" customHeight="1">
      <c r="A43" t="inlineStr">
        <is>
          <t>1</t>
        </is>
      </c>
      <c r="B43" t="inlineStr">
        <is>
          <t>Ophiomancer</t>
        </is>
      </c>
      <c r="C43" t="b">
        <v>1</v>
      </c>
      <c r="D43" t="b">
        <v>0</v>
      </c>
      <c r="E43" t="inlineStr"/>
      <c r="F43" t="inlineStr">
        <is>
          <t>On Theme</t>
        </is>
      </c>
      <c r="G43" t="inlineStr">
        <is>
          <t>Rare</t>
        </is>
      </c>
      <c r="H43" t="inlineStr">
        <is>
          <t>SOC</t>
        </is>
      </c>
      <c r="I43" t="inlineStr">
        <is>
          <t>3</t>
        </is>
      </c>
      <c r="J43">
        <f>IMAGE("https://api.scryfall.com/cards/named?exact=Ophiomancer&amp;format=image&amp;version=normal")</f>
        <v/>
      </c>
      <c r="K43" t="inlineStr">
        <is>
          <t>$0.91</t>
        </is>
      </c>
      <c r="L43" t="inlineStr">
        <is>
          <t>At the beginning of each upkeep, if you control no Snakes, create a 1/1 black Snake creature token with deathtouch.</t>
        </is>
      </c>
    </row>
    <row r="44" ht="270" customHeight="1">
      <c r="A44" t="inlineStr">
        <is>
          <t>1</t>
        </is>
      </c>
      <c r="B44" t="inlineStr">
        <is>
          <t>Origin of Metalbending</t>
        </is>
      </c>
      <c r="C44" t="b">
        <v>1</v>
      </c>
      <c r="D44" t="b">
        <v>0</v>
      </c>
      <c r="E44" t="inlineStr"/>
      <c r="F44" t="inlineStr">
        <is>
          <t>Interaction</t>
        </is>
      </c>
      <c r="G44" t="inlineStr">
        <is>
          <t>Common</t>
        </is>
      </c>
      <c r="H44" t="inlineStr">
        <is>
          <t>TLA</t>
        </is>
      </c>
      <c r="I44" t="inlineStr">
        <is>
          <t>2</t>
        </is>
      </c>
      <c r="J44">
        <f>IMAGE("https://api.scryfall.com/cards/named?exact=Origin%20of%20Metalbending&amp;format=image&amp;version=normal")</f>
        <v/>
      </c>
      <c r="K44" t="inlineStr">
        <is>
          <t>$0.30</t>
        </is>
      </c>
      <c r="L44" t="inlineStr">
        <is>
          <t>Choose one — • Destroy target artifact or enchantment. • Put a +1/+1 counter on target creature you control. It gains indestructible until end of turn. (Damage and effects that say "destroy" don't destroy it.)</t>
        </is>
      </c>
    </row>
    <row r="45" ht="270" customHeight="1">
      <c r="A45" t="inlineStr">
        <is>
          <t>1</t>
        </is>
      </c>
      <c r="B45" t="inlineStr">
        <is>
          <t>Pest Infestation</t>
        </is>
      </c>
      <c r="C45" t="b">
        <v>1</v>
      </c>
      <c r="D45" t="b">
        <v>0</v>
      </c>
      <c r="E45" t="inlineStr"/>
      <c r="F45" t="inlineStr">
        <is>
          <t>Interaction</t>
        </is>
      </c>
      <c r="G45" t="inlineStr">
        <is>
          <t>Rare</t>
        </is>
      </c>
      <c r="H45" t="inlineStr">
        <is>
          <t>SOC</t>
        </is>
      </c>
      <c r="I45" t="inlineStr">
        <is>
          <t>1</t>
        </is>
      </c>
      <c r="J45">
        <f>IMAGE("https://api.scryfall.com/cards/named?exact=Pest%20Infestation&amp;format=image&amp;version=normal")</f>
        <v/>
      </c>
      <c r="K45" t="inlineStr">
        <is>
          <t>$0.50</t>
        </is>
      </c>
      <c r="L45" t="inlineStr">
        <is>
          <t>Destroy up to X target artifacts and/or enchantments. Create twice X 1/1 black and green Pest creature tokens with "When this token dies, you gain 1 life."</t>
        </is>
      </c>
    </row>
    <row r="46" ht="270" customHeight="1">
      <c r="A46" t="inlineStr">
        <is>
          <t>1</t>
        </is>
      </c>
      <c r="B46" t="inlineStr">
        <is>
          <t>Pest Mascot</t>
        </is>
      </c>
      <c r="C46" t="b">
        <v>1</v>
      </c>
      <c r="D46" t="b">
        <v>0</v>
      </c>
      <c r="E46" t="inlineStr"/>
      <c r="F46" t="inlineStr">
        <is>
          <t>On Theme</t>
        </is>
      </c>
      <c r="G46" t="inlineStr">
        <is>
          <t>Common</t>
        </is>
      </c>
      <c r="H46" t="inlineStr">
        <is>
          <t>SOS</t>
        </is>
      </c>
      <c r="I46" t="inlineStr">
        <is>
          <t>3</t>
        </is>
      </c>
      <c r="J46">
        <f>IMAGE("https://api.scryfall.com/cards/named?exact=Pest%20Mascot&amp;format=image&amp;version=normal")</f>
        <v/>
      </c>
      <c r="K46" t="inlineStr">
        <is>
          <t>$0.24</t>
        </is>
      </c>
      <c r="L46" t="inlineStr">
        <is>
          <t>Trample Whenever you gain life, put a +1/+1 counter on this creature.</t>
        </is>
      </c>
    </row>
    <row r="47" ht="270" customHeight="1">
      <c r="A47" t="inlineStr">
        <is>
          <t>1</t>
        </is>
      </c>
      <c r="B47" t="inlineStr">
        <is>
          <t>Pest Rescuer</t>
        </is>
      </c>
      <c r="C47" t="b">
        <v>1</v>
      </c>
      <c r="D47" t="b">
        <v>0</v>
      </c>
      <c r="E47" t="inlineStr"/>
      <c r="F47" t="inlineStr">
        <is>
          <t>On Theme</t>
        </is>
      </c>
      <c r="G47" t="inlineStr">
        <is>
          <t>Rare</t>
        </is>
      </c>
      <c r="H47" t="inlineStr">
        <is>
          <t>SOC</t>
        </is>
      </c>
      <c r="I47" t="inlineStr">
        <is>
          <t>3</t>
        </is>
      </c>
      <c r="J47">
        <f>IMAGE("https://api.scryfall.com/cards/named?exact=Pest%20Rescuer&amp;format=image&amp;version=normal")</f>
        <v/>
      </c>
      <c r="K47" t="inlineStr">
        <is>
          <t>$1.07</t>
        </is>
      </c>
      <c r="L47" t="inlineStr">
        <is>
          <t>At the beginning of each upkeep, if you don't control a Pest creature token, create a 1/1 black and green Pest creature token with "When this token dies, you gain 1 life." If you would gain life, you gain that much life plus 1 instead.</t>
        </is>
      </c>
    </row>
    <row r="48" ht="270" customHeight="1">
      <c r="A48" t="inlineStr">
        <is>
          <t>1</t>
        </is>
      </c>
      <c r="B48" t="inlineStr">
        <is>
          <t>Pest Summoning</t>
        </is>
      </c>
      <c r="C48" t="b">
        <v>1</v>
      </c>
      <c r="D48" t="b">
        <v>0</v>
      </c>
      <c r="E48" t="inlineStr"/>
      <c r="F48" t="inlineStr">
        <is>
          <t>On Theme</t>
        </is>
      </c>
      <c r="G48" t="inlineStr">
        <is>
          <t>Common</t>
        </is>
      </c>
      <c r="H48" t="inlineStr">
        <is>
          <t>STX</t>
        </is>
      </c>
      <c r="I48" t="inlineStr">
        <is>
          <t>3</t>
        </is>
      </c>
      <c r="J48">
        <f>IMAGE("https://api.scryfall.com/cards/named?exact=Pest%20Summoning&amp;format=image&amp;version=normal")</f>
        <v/>
      </c>
      <c r="K48" t="inlineStr">
        <is>
          <t>$0.11</t>
        </is>
      </c>
      <c r="L48" t="inlineStr">
        <is>
          <t>Create two 1/1 black and green Pest creature tokens with "When this token dies, you gain 1 life."</t>
        </is>
      </c>
    </row>
    <row r="49" ht="270" customHeight="1">
      <c r="A49" t="inlineStr">
        <is>
          <t>1</t>
        </is>
      </c>
      <c r="B49" t="inlineStr">
        <is>
          <t>Pestbrood Sloth</t>
        </is>
      </c>
      <c r="C49" t="b">
        <v>1</v>
      </c>
      <c r="D49" t="b">
        <v>0</v>
      </c>
      <c r="E49" t="inlineStr"/>
      <c r="F49" t="inlineStr">
        <is>
          <t>On Theme</t>
        </is>
      </c>
      <c r="G49" t="inlineStr">
        <is>
          <t>Uncommon</t>
        </is>
      </c>
      <c r="H49" t="inlineStr">
        <is>
          <t>SOS</t>
        </is>
      </c>
      <c r="I49" t="inlineStr">
        <is>
          <t>4</t>
        </is>
      </c>
      <c r="J49">
        <f>IMAGE("https://api.scryfall.com/cards/named?exact=Pestbrood%20Sloth&amp;format=image&amp;version=normal")</f>
        <v/>
      </c>
      <c r="K49" t="inlineStr">
        <is>
          <t>$0.19</t>
        </is>
      </c>
      <c r="L49" t="inlineStr">
        <is>
          <t>Reach When this creature dies, create two 1/1 black and green Pest creature tokens with "Whenever this token attacks, you gain 1 life."</t>
        </is>
      </c>
    </row>
    <row r="50" ht="270" customHeight="1">
      <c r="A50" t="inlineStr">
        <is>
          <t>1</t>
        </is>
      </c>
      <c r="B50" t="inlineStr">
        <is>
          <t>Phyrexian Arena</t>
        </is>
      </c>
      <c r="C50" t="b">
        <v>1</v>
      </c>
      <c r="D50" t="b">
        <v>0</v>
      </c>
      <c r="E50" t="inlineStr"/>
      <c r="F50" t="inlineStr">
        <is>
          <t>Card Advantage</t>
        </is>
      </c>
      <c r="G50" t="inlineStr">
        <is>
          <t>Rare</t>
        </is>
      </c>
      <c r="H50" t="inlineStr">
        <is>
          <t>PFDN</t>
        </is>
      </c>
      <c r="I50" t="inlineStr">
        <is>
          <t>3</t>
        </is>
      </c>
      <c r="J50">
        <f>IMAGE("https://api.scryfall.com/cards/named?exact=Phyrexian%20Arena&amp;format=image&amp;version=normal")</f>
        <v/>
      </c>
      <c r="K50" t="inlineStr">
        <is>
          <t>$4.56</t>
        </is>
      </c>
      <c r="L50" t="inlineStr">
        <is>
          <t>At the beginning of your upkeep, you draw a card and you lose 1 life.</t>
        </is>
      </c>
    </row>
    <row r="51" ht="270" customHeight="1">
      <c r="A51" t="inlineStr">
        <is>
          <t>1</t>
        </is>
      </c>
      <c r="B51" t="inlineStr">
        <is>
          <t>Potioner's Trove</t>
        </is>
      </c>
      <c r="C51" t="b">
        <v>1</v>
      </c>
      <c r="D51" t="b">
        <v>0</v>
      </c>
      <c r="E51" t="inlineStr"/>
      <c r="F51" t="inlineStr">
        <is>
          <t>Ramp</t>
        </is>
      </c>
      <c r="G51" t="inlineStr">
        <is>
          <t>Common</t>
        </is>
      </c>
      <c r="H51" t="inlineStr">
        <is>
          <t>SOS</t>
        </is>
      </c>
      <c r="I51" t="inlineStr">
        <is>
          <t>3</t>
        </is>
      </c>
      <c r="J51">
        <f>IMAGE("https://api.scryfall.com/cards/named?exact=Potioner%27s%20Trove&amp;format=image&amp;version=normal")</f>
        <v/>
      </c>
      <c r="K51" t="inlineStr">
        <is>
          <t>$0.19</t>
        </is>
      </c>
      <c r="L51" t="inlineStr">
        <is>
          <t>{T}: Add one mana of any color. {T}: You gain 2 life. Activate only if you've cast an instant or sorcery spell this turn.</t>
        </is>
      </c>
    </row>
    <row r="52" ht="270" customHeight="1">
      <c r="A52" t="inlineStr">
        <is>
          <t>1</t>
        </is>
      </c>
      <c r="B52" t="inlineStr">
        <is>
          <t>Pristine Talisman</t>
        </is>
      </c>
      <c r="C52" t="b">
        <v>1</v>
      </c>
      <c r="D52" t="b">
        <v>0</v>
      </c>
      <c r="E52" t="inlineStr"/>
      <c r="F52" t="inlineStr">
        <is>
          <t>Ramp</t>
        </is>
      </c>
      <c r="G52" t="inlineStr">
        <is>
          <t>Common</t>
        </is>
      </c>
      <c r="H52" t="inlineStr">
        <is>
          <t>LTC</t>
        </is>
      </c>
      <c r="I52" t="inlineStr">
        <is>
          <t>3</t>
        </is>
      </c>
      <c r="J52">
        <f>IMAGE("https://api.scryfall.com/cards/named?exact=Pristine%20Talisman&amp;format=image&amp;version=normal")</f>
        <v/>
      </c>
      <c r="K52" t="inlineStr">
        <is>
          <t>$0.39</t>
        </is>
      </c>
      <c r="L52" t="inlineStr">
        <is>
          <t>{T}: Add {C}. You gain 1 life.</t>
        </is>
      </c>
    </row>
    <row r="53" ht="270" customHeight="1">
      <c r="A53" t="inlineStr">
        <is>
          <t>1</t>
        </is>
      </c>
      <c r="B53" t="inlineStr">
        <is>
          <t>Pull from the Grave</t>
        </is>
      </c>
      <c r="C53" t="b">
        <v>1</v>
      </c>
      <c r="D53" t="b">
        <v>0</v>
      </c>
      <c r="E53" t="inlineStr"/>
      <c r="F53" t="inlineStr">
        <is>
          <t>Card Advantage</t>
        </is>
      </c>
      <c r="G53" t="inlineStr">
        <is>
          <t>Common</t>
        </is>
      </c>
      <c r="H53" t="inlineStr">
        <is>
          <t>SOS</t>
        </is>
      </c>
      <c r="I53" t="inlineStr">
        <is>
          <t>3</t>
        </is>
      </c>
      <c r="J53">
        <f>IMAGE("https://api.scryfall.com/cards/named?exact=Pull%20from%20the%20Grave&amp;format=image&amp;version=normal")</f>
        <v/>
      </c>
      <c r="K53" t="inlineStr">
        <is>
          <t>$0.22</t>
        </is>
      </c>
      <c r="L53" t="inlineStr">
        <is>
          <t>Return up to two target creature cards from your graveyard to your hand. You gain 2 life.</t>
        </is>
      </c>
    </row>
    <row r="54" ht="270" customHeight="1">
      <c r="A54" t="inlineStr">
        <is>
          <t>1</t>
        </is>
      </c>
      <c r="B54" t="inlineStr">
        <is>
          <t>Punishing Punch</t>
        </is>
      </c>
      <c r="C54" t="b">
        <v>1</v>
      </c>
      <c r="D54" t="b">
        <v>0</v>
      </c>
      <c r="E54" t="inlineStr"/>
      <c r="F54" t="inlineStr">
        <is>
          <t>Interaction</t>
        </is>
      </c>
      <c r="G54" t="inlineStr">
        <is>
          <t>Uncommon</t>
        </is>
      </c>
      <c r="H54" t="inlineStr">
        <is>
          <t>MSH</t>
        </is>
      </c>
      <c r="I54" t="inlineStr">
        <is>
          <t>3</t>
        </is>
      </c>
      <c r="J54">
        <f>IMAGE("https://api.scryfall.com/cards/named?exact=Punishing%20Punch&amp;format=image&amp;version=normal")</f>
        <v/>
      </c>
      <c r="K54" t="inlineStr">
        <is>
          <t>$0.23</t>
        </is>
      </c>
      <c r="L54" t="inlineStr">
        <is>
          <t>This spell costs {2} less to cast if there are two or more creature cards in your graveyard. Target creature you control deals damage equal to twice its power to target creature an opponent controls.</t>
        </is>
      </c>
    </row>
    <row r="55" ht="270" customHeight="1">
      <c r="A55" t="inlineStr">
        <is>
          <t>1</t>
        </is>
      </c>
      <c r="B55" t="inlineStr">
        <is>
          <t>Raucous Audience</t>
        </is>
      </c>
      <c r="C55" t="b">
        <v>1</v>
      </c>
      <c r="D55" t="b">
        <v>0</v>
      </c>
      <c r="E55" t="inlineStr"/>
      <c r="F55" t="inlineStr">
        <is>
          <t>Ramp</t>
        </is>
      </c>
      <c r="G55" t="inlineStr">
        <is>
          <t>Common</t>
        </is>
      </c>
      <c r="H55" t="inlineStr">
        <is>
          <t>TLA</t>
        </is>
      </c>
      <c r="I55" t="inlineStr">
        <is>
          <t>2</t>
        </is>
      </c>
      <c r="J55">
        <f>IMAGE("https://api.scryfall.com/cards/named?exact=Raucous%20Audience&amp;format=image&amp;version=normal")</f>
        <v/>
      </c>
      <c r="K55" t="inlineStr">
        <is>
          <t>$0.15</t>
        </is>
      </c>
      <c r="L55" t="inlineStr">
        <is>
          <t>{T}: Add {G}. If you control a creature with power 4 or greater, add {G}{G} instead.</t>
        </is>
      </c>
    </row>
    <row r="56" ht="270" customHeight="1">
      <c r="A56" t="inlineStr">
        <is>
          <t>1</t>
        </is>
      </c>
      <c r="B56" t="inlineStr">
        <is>
          <t>Return to Nature</t>
        </is>
      </c>
      <c r="C56" t="b">
        <v>1</v>
      </c>
      <c r="D56" t="b">
        <v>0</v>
      </c>
      <c r="E56" t="inlineStr"/>
      <c r="F56" t="inlineStr">
        <is>
          <t>Interaction</t>
        </is>
      </c>
      <c r="G56" t="inlineStr">
        <is>
          <t>Common</t>
        </is>
      </c>
      <c r="H56" t="inlineStr">
        <is>
          <t>PLST</t>
        </is>
      </c>
      <c r="I56" t="inlineStr">
        <is>
          <t>2</t>
        </is>
      </c>
      <c r="J56">
        <f>IMAGE("https://api.scryfall.com/cards/named?exact=Return%20to%20Nature&amp;format=image&amp;version=normal")</f>
        <v/>
      </c>
      <c r="K56" t="inlineStr">
        <is>
          <t>$0.24</t>
        </is>
      </c>
      <c r="L56" t="inlineStr">
        <is>
          <t>Choose one — • Destroy target artifact. • Destroy target enchantment. • Exile target card from a graveyard.</t>
        </is>
      </c>
    </row>
    <row r="57" ht="270" customHeight="1">
      <c r="A57" t="inlineStr">
        <is>
          <t>1</t>
        </is>
      </c>
      <c r="B57" t="inlineStr">
        <is>
          <t>Runic Armasaur</t>
        </is>
      </c>
      <c r="C57" t="b">
        <v>1</v>
      </c>
      <c r="D57" t="b">
        <v>0</v>
      </c>
      <c r="E57" t="inlineStr"/>
      <c r="F57" t="inlineStr">
        <is>
          <t>Card Advantage</t>
        </is>
      </c>
      <c r="G57" t="inlineStr">
        <is>
          <t>Rare</t>
        </is>
      </c>
      <c r="H57" t="inlineStr">
        <is>
          <t>LCC</t>
        </is>
      </c>
      <c r="I57" t="inlineStr">
        <is>
          <t>3</t>
        </is>
      </c>
      <c r="J57">
        <f>IMAGE("https://api.scryfall.com/cards/named?exact=Runic%20Armasaur&amp;format=image&amp;version=normal")</f>
        <v/>
      </c>
      <c r="K57" t="inlineStr">
        <is>
          <t>$2.16</t>
        </is>
      </c>
      <c r="L57" t="inlineStr">
        <is>
          <t>Whenever an opponent activates an ability of a creature or land that isn't a mana ability, you may draw a card.</t>
        </is>
      </c>
    </row>
    <row r="58" ht="270" customHeight="1">
      <c r="A58" t="inlineStr">
        <is>
          <t>1</t>
        </is>
      </c>
      <c r="B58" t="inlineStr">
        <is>
          <t>Sanguine Bond</t>
        </is>
      </c>
      <c r="C58" t="b">
        <v>1</v>
      </c>
      <c r="D58" t="b">
        <v>0</v>
      </c>
      <c r="E58" t="inlineStr"/>
      <c r="F58" t="inlineStr">
        <is>
          <t>On Theme</t>
        </is>
      </c>
      <c r="G58" t="inlineStr">
        <is>
          <t>Rare</t>
        </is>
      </c>
      <c r="H58" t="inlineStr">
        <is>
          <t>LTC</t>
        </is>
      </c>
      <c r="I58" t="inlineStr">
        <is>
          <t>5</t>
        </is>
      </c>
      <c r="J58">
        <f>IMAGE("https://api.scryfall.com/cards/named?exact=Sanguine%20Bond&amp;format=image&amp;version=normal")</f>
        <v/>
      </c>
      <c r="K58" t="inlineStr">
        <is>
          <t>$5.80</t>
        </is>
      </c>
      <c r="L58" t="inlineStr">
        <is>
          <t>Whenever you gain life, target opponent loses that much life.</t>
        </is>
      </c>
    </row>
    <row r="59" ht="270" customHeight="1">
      <c r="A59" t="inlineStr">
        <is>
          <t>1</t>
        </is>
      </c>
      <c r="B59" t="inlineStr">
        <is>
          <t>Send in the Pest</t>
        </is>
      </c>
      <c r="C59" t="b">
        <v>1</v>
      </c>
      <c r="D59" t="b">
        <v>0</v>
      </c>
      <c r="E59" t="inlineStr"/>
      <c r="F59" t="inlineStr">
        <is>
          <t>On Theme</t>
        </is>
      </c>
      <c r="G59" t="inlineStr">
        <is>
          <t>Common</t>
        </is>
      </c>
      <c r="H59" t="inlineStr">
        <is>
          <t>SOS</t>
        </is>
      </c>
      <c r="I59" t="inlineStr">
        <is>
          <t>2</t>
        </is>
      </c>
      <c r="J59">
        <f>IMAGE("https://api.scryfall.com/cards/named?exact=Send%20in%20the%20Pest&amp;format=image&amp;version=normal")</f>
        <v/>
      </c>
      <c r="K59" t="inlineStr">
        <is>
          <t>$0.22</t>
        </is>
      </c>
      <c r="L59" t="inlineStr">
        <is>
          <t>Each opponent discards a card. You create a 1/1 black and green Pest creature token with "Whenever this token attacks, you gain 1 life."</t>
        </is>
      </c>
    </row>
    <row r="60" ht="270" customHeight="1">
      <c r="A60" t="inlineStr">
        <is>
          <t>1</t>
        </is>
      </c>
      <c r="B60" t="inlineStr">
        <is>
          <t>Shopkeeper's Bane</t>
        </is>
      </c>
      <c r="C60" t="b">
        <v>1</v>
      </c>
      <c r="D60" t="b">
        <v>0</v>
      </c>
      <c r="E60" t="inlineStr"/>
      <c r="F60" t="inlineStr">
        <is>
          <t>On Theme</t>
        </is>
      </c>
      <c r="G60" t="inlineStr">
        <is>
          <t>Common</t>
        </is>
      </c>
      <c r="H60" t="inlineStr">
        <is>
          <t>SOS</t>
        </is>
      </c>
      <c r="I60" t="inlineStr">
        <is>
          <t>3</t>
        </is>
      </c>
      <c r="J60">
        <f>IMAGE("https://api.scryfall.com/cards/named?exact=Shopkeeper%27s%20Bane&amp;format=image&amp;version=normal")</f>
        <v/>
      </c>
      <c r="K60" t="inlineStr">
        <is>
          <t>$0.24</t>
        </is>
      </c>
      <c r="L60" t="inlineStr">
        <is>
          <t>Trample Whenever this creature attacks, you gain 2 life.</t>
        </is>
      </c>
    </row>
    <row r="61" ht="270" customHeight="1">
      <c r="A61" t="inlineStr">
        <is>
          <t>1</t>
        </is>
      </c>
      <c r="B61" t="inlineStr">
        <is>
          <t>Skullclamp</t>
        </is>
      </c>
      <c r="C61" t="b">
        <v>1</v>
      </c>
      <c r="D61" t="b">
        <v>0</v>
      </c>
      <c r="E61" t="inlineStr"/>
      <c r="F61" t="inlineStr">
        <is>
          <t>Card Advantage</t>
        </is>
      </c>
      <c r="G61" t="inlineStr">
        <is>
          <t>Rare</t>
        </is>
      </c>
      <c r="H61" t="inlineStr">
        <is>
          <t>MSC</t>
        </is>
      </c>
      <c r="I61" t="inlineStr">
        <is>
          <t>1</t>
        </is>
      </c>
      <c r="J61">
        <f>IMAGE("https://api.scryfall.com/cards/named?exact=Skullclamp&amp;format=image&amp;version=normal")</f>
        <v/>
      </c>
      <c r="K61" t="inlineStr">
        <is>
          <t>$4.29</t>
        </is>
      </c>
      <c r="L61" t="inlineStr">
        <is>
          <t>Equipped creature gets +1/-1. Whenever equipped creature dies, draw two cards. Equip {1}</t>
        </is>
      </c>
    </row>
    <row r="62" ht="270" customHeight="1">
      <c r="A62" t="inlineStr">
        <is>
          <t>1</t>
        </is>
      </c>
      <c r="B62" t="inlineStr">
        <is>
          <t>Sol Ring</t>
        </is>
      </c>
      <c r="C62" t="b">
        <v>1</v>
      </c>
      <c r="D62" t="b">
        <v>0</v>
      </c>
      <c r="E62" t="inlineStr"/>
      <c r="F62" t="inlineStr">
        <is>
          <t>Ramp</t>
        </is>
      </c>
      <c r="G62" t="inlineStr">
        <is>
          <t>Uncommon</t>
        </is>
      </c>
      <c r="H62" t="inlineStr">
        <is>
          <t>MSC</t>
        </is>
      </c>
      <c r="I62" t="inlineStr">
        <is>
          <t>1</t>
        </is>
      </c>
      <c r="J62">
        <f>IMAGE("https://api.scryfall.com/cards/named?exact=Sol%20Ring&amp;format=image&amp;version=normal")</f>
        <v/>
      </c>
      <c r="K62" t="inlineStr">
        <is>
          <t>$1.15</t>
        </is>
      </c>
      <c r="L62" t="inlineStr">
        <is>
          <t>{T}: Add {C}{C}.</t>
        </is>
      </c>
    </row>
    <row r="63" ht="270" customHeight="1">
      <c r="A63" t="inlineStr">
        <is>
          <t>1</t>
        </is>
      </c>
      <c r="B63" t="inlineStr">
        <is>
          <t>South Wind Avatar</t>
        </is>
      </c>
      <c r="C63" t="b">
        <v>1</v>
      </c>
      <c r="D63" t="b">
        <v>0</v>
      </c>
      <c r="E63" t="inlineStr"/>
      <c r="F63" t="inlineStr">
        <is>
          <t>On Theme</t>
        </is>
      </c>
      <c r="G63" t="inlineStr">
        <is>
          <t>Rare</t>
        </is>
      </c>
      <c r="H63" t="inlineStr">
        <is>
          <t>TMT</t>
        </is>
      </c>
      <c r="I63" t="inlineStr">
        <is>
          <t>4</t>
        </is>
      </c>
      <c r="J63">
        <f>IMAGE("https://api.scryfall.com/cards/named?exact=South%20Wind%20Avatar&amp;format=image&amp;version=normal")</f>
        <v/>
      </c>
      <c r="K63" t="inlineStr">
        <is>
          <t>$2.19</t>
        </is>
      </c>
      <c r="L63" t="inlineStr">
        <is>
          <t>Deathtouch Whenever another creature you control dies, you gain life equal to its toughness. Whenever you gain life, each opponent loses 1 life.</t>
        </is>
      </c>
    </row>
    <row r="64" ht="270" customHeight="1">
      <c r="A64" t="inlineStr">
        <is>
          <t>1</t>
        </is>
      </c>
      <c r="B64" t="inlineStr">
        <is>
          <t>Starlit Soothsayer</t>
        </is>
      </c>
      <c r="C64" t="b">
        <v>1</v>
      </c>
      <c r="D64" t="b">
        <v>1</v>
      </c>
      <c r="E64" t="inlineStr">
        <is>
          <t>Surveil-on-lifegain is filtering only — doesn't create Pest fodder or feed the counter engine. Replaced with Pestbrood Sloth, which converts its own death into two lifegain-triggering Pest tokens.</t>
        </is>
      </c>
      <c r="F64" t="inlineStr">
        <is>
          <t>On Theme</t>
        </is>
      </c>
      <c r="G64" t="inlineStr">
        <is>
          <t>Common</t>
        </is>
      </c>
      <c r="H64" t="inlineStr">
        <is>
          <t>BLB</t>
        </is>
      </c>
      <c r="I64" t="inlineStr">
        <is>
          <t>3</t>
        </is>
      </c>
      <c r="J64">
        <f>IMAGE("https://api.scryfall.com/cards/named?exact=Starlit%20Soothsayer&amp;format=image&amp;version=normal")</f>
        <v/>
      </c>
      <c r="K64" t="inlineStr">
        <is>
          <t>$0.20</t>
        </is>
      </c>
      <c r="L64" t="inlineStr">
        <is>
          <t>Flying At the beginning of your end step, if you gained or lost life this turn, surveil 1. (Look at the top card of your library. You may put it into your graveyard.)</t>
        </is>
      </c>
    </row>
    <row r="65" ht="270" customHeight="1">
      <c r="A65" t="inlineStr">
        <is>
          <t>1</t>
        </is>
      </c>
      <c r="B65" t="inlineStr">
        <is>
          <t>Starscape Cleric</t>
        </is>
      </c>
      <c r="C65" t="b">
        <v>1</v>
      </c>
      <c r="D65" t="b">
        <v>0</v>
      </c>
      <c r="E65" t="inlineStr"/>
      <c r="F65" t="inlineStr">
        <is>
          <t>On Theme</t>
        </is>
      </c>
      <c r="G65" t="inlineStr">
        <is>
          <t>Uncommon</t>
        </is>
      </c>
      <c r="H65" t="inlineStr">
        <is>
          <t>BLB</t>
        </is>
      </c>
      <c r="I65" t="inlineStr">
        <is>
          <t>2</t>
        </is>
      </c>
      <c r="J65">
        <f>IMAGE("https://api.scryfall.com/cards/named?exact=Starscape%20Cleric&amp;format=image&amp;version=normal")</f>
        <v/>
      </c>
      <c r="K65" t="inlineStr">
        <is>
          <t>$1.16</t>
        </is>
      </c>
      <c r="L65" t="inlineStr">
        <is>
          <t>Offspring {2}{B} (You may pay an additional {2}{B} as you cast this spell. If you do, when this creature enters, create a 1/1 token copy of it.) Flying This creature can't block. Whenever you gain life, each opponent loses 1 life.</t>
        </is>
      </c>
    </row>
    <row r="66" ht="270" customHeight="1">
      <c r="A66" t="inlineStr">
        <is>
          <t>1</t>
        </is>
      </c>
      <c r="B66" t="inlineStr">
        <is>
          <t>Subterranean Cavern</t>
        </is>
      </c>
      <c r="C66" t="b">
        <v>1</v>
      </c>
      <c r="D66" t="b">
        <v>0</v>
      </c>
      <c r="E66" t="inlineStr"/>
      <c r="F66" t="inlineStr">
        <is>
          <t>Lands</t>
        </is>
      </c>
      <c r="G66" t="inlineStr">
        <is>
          <t>Common</t>
        </is>
      </c>
      <c r="H66" t="inlineStr">
        <is>
          <t>MSH</t>
        </is>
      </c>
      <c r="I66" t="inlineStr">
        <is>
          <t>0</t>
        </is>
      </c>
      <c r="J66">
        <f>IMAGE("https://api.scryfall.com/cards/named?exact=Subterranean%20Cavern&amp;format=image&amp;version=normal")</f>
        <v/>
      </c>
      <c r="K66" t="inlineStr">
        <is>
          <t>$0.14</t>
        </is>
      </c>
      <c r="L66" t="inlineStr">
        <is>
          <t>This land enters tapped. When this land enters, you gain 1 life. {T}: Add {B} or {G}.</t>
        </is>
      </c>
    </row>
    <row r="67" ht="270" customHeight="1">
      <c r="A67" t="inlineStr">
        <is>
          <t>14</t>
        </is>
      </c>
      <c r="B67" t="inlineStr">
        <is>
          <t>Swamp</t>
        </is>
      </c>
      <c r="C67" t="b">
        <v>1</v>
      </c>
      <c r="D67" t="b">
        <v>0</v>
      </c>
      <c r="E67" t="inlineStr"/>
      <c r="F67" t="inlineStr">
        <is>
          <t>Lands</t>
        </is>
      </c>
      <c r="G67" t="inlineStr">
        <is>
          <t>Common</t>
        </is>
      </c>
      <c r="H67" t="inlineStr">
        <is>
          <t>HOB</t>
        </is>
      </c>
      <c r="I67" t="inlineStr">
        <is>
          <t>0</t>
        </is>
      </c>
      <c r="J67">
        <f>IMAGE("https://api.scryfall.com/cards/named?exact=Swamp&amp;format=image&amp;version=normal")</f>
        <v/>
      </c>
      <c r="K67" t="inlineStr">
        <is>
          <t>$2.00</t>
        </is>
      </c>
      <c r="L67" t="inlineStr">
        <is>
          <t>({T}: Add {B}.)</t>
        </is>
      </c>
    </row>
    <row r="68" ht="270" customHeight="1">
      <c r="A68" t="inlineStr">
        <is>
          <t>1</t>
        </is>
      </c>
      <c r="B68" t="inlineStr">
        <is>
          <t>Teacher's Pest</t>
        </is>
      </c>
      <c r="C68" t="b">
        <v>1</v>
      </c>
      <c r="D68" t="b">
        <v>0</v>
      </c>
      <c r="E68" t="inlineStr"/>
      <c r="F68" t="inlineStr">
        <is>
          <t>On Theme</t>
        </is>
      </c>
      <c r="G68" t="inlineStr">
        <is>
          <t>Uncommon</t>
        </is>
      </c>
      <c r="H68" t="inlineStr">
        <is>
          <t>SOS</t>
        </is>
      </c>
      <c r="I68" t="inlineStr">
        <is>
          <t>2</t>
        </is>
      </c>
      <c r="J68">
        <f>IMAGE("https://api.scryfall.com/cards/named?exact=Teacher%27s%20Pest&amp;format=image&amp;version=normal")</f>
        <v/>
      </c>
      <c r="K68" t="inlineStr">
        <is>
          <t>$0.26</t>
        </is>
      </c>
      <c r="L68" t="inlineStr">
        <is>
          <t>Menace (This creature can't be blocked except by two or more creatures.) Whenever this creature attacks, you gain 1 life. {B}{G}: Return this card from your graveyard to the battlefield tapped.</t>
        </is>
      </c>
    </row>
    <row r="69" ht="270" customHeight="1">
      <c r="A69" t="inlineStr">
        <is>
          <t>1</t>
        </is>
      </c>
      <c r="B69" t="inlineStr">
        <is>
          <t>The Swarmweaver</t>
        </is>
      </c>
      <c r="C69" t="b">
        <v>1</v>
      </c>
      <c r="D69" t="b">
        <v>0</v>
      </c>
      <c r="E69" t="inlineStr"/>
      <c r="F69" t="inlineStr">
        <is>
          <t>On Theme</t>
        </is>
      </c>
      <c r="G69" t="inlineStr">
        <is>
          <t>Rare</t>
        </is>
      </c>
      <c r="H69" t="inlineStr">
        <is>
          <t>PDSK</t>
        </is>
      </c>
      <c r="I69" t="inlineStr">
        <is>
          <t>4</t>
        </is>
      </c>
      <c r="J69">
        <f>IMAGE("https://api.scryfall.com/cards/named?exact=The%20Swarmweaver&amp;format=image&amp;version=normal")</f>
        <v/>
      </c>
      <c r="K69" t="inlineStr">
        <is>
          <t>$0.33</t>
        </is>
      </c>
      <c r="L69" t="inlineStr">
        <is>
          <t>When The Swarmweaver enters, create two 1/1 black and green Insect creature tokens with flying. Delirium — As long as there are four or more card types among cards in your graveyard, Insects and Spiders you control get +1/+1 and have deathtouch.</t>
        </is>
      </c>
    </row>
    <row r="70" ht="270" customHeight="1">
      <c r="A70" t="inlineStr">
        <is>
          <t>1</t>
        </is>
      </c>
      <c r="B70" t="inlineStr">
        <is>
          <t>They Went This Way</t>
        </is>
      </c>
      <c r="C70" t="b">
        <v>1</v>
      </c>
      <c r="D70" t="b">
        <v>0</v>
      </c>
      <c r="E70" t="inlineStr"/>
      <c r="F70" t="inlineStr">
        <is>
          <t>Ramp</t>
        </is>
      </c>
      <c r="G70" t="inlineStr">
        <is>
          <t>Common</t>
        </is>
      </c>
      <c r="H70" t="inlineStr">
        <is>
          <t>MKM</t>
        </is>
      </c>
      <c r="I70" t="inlineStr">
        <is>
          <t>3</t>
        </is>
      </c>
      <c r="J70">
        <f>IMAGE("https://api.scryfall.com/cards/named?exact=They%20Went%20This%20Way&amp;format=image&amp;version=normal")</f>
        <v/>
      </c>
      <c r="K70" t="inlineStr">
        <is>
          <t>$0.25</t>
        </is>
      </c>
      <c r="L70" t="inlineStr">
        <is>
          <t>Search your library for a basic land card, put it onto the battlefield tapped, then shuffle. Investigate. (Create a Clue token. It's an artifact with "{2}, Sacrifice this token: Draw a card.")</t>
        </is>
      </c>
    </row>
    <row r="71" ht="270" customHeight="1">
      <c r="A71" t="inlineStr">
        <is>
          <t>1</t>
        </is>
      </c>
      <c r="B71" t="inlineStr">
        <is>
          <t>Thriving Grove</t>
        </is>
      </c>
      <c r="C71" t="b">
        <v>1</v>
      </c>
      <c r="D71" t="b">
        <v>0</v>
      </c>
      <c r="E71" t="inlineStr"/>
      <c r="F71" t="inlineStr">
        <is>
          <t>Lands</t>
        </is>
      </c>
      <c r="G71" t="inlineStr">
        <is>
          <t>Common</t>
        </is>
      </c>
      <c r="H71" t="inlineStr">
        <is>
          <t>MSC</t>
        </is>
      </c>
      <c r="I71" t="inlineStr">
        <is>
          <t>0</t>
        </is>
      </c>
      <c r="J71">
        <f>IMAGE("https://api.scryfall.com/cards/named?exact=Thriving%20Grove&amp;format=image&amp;version=normal")</f>
        <v/>
      </c>
      <c r="K71" t="inlineStr">
        <is>
          <t>$0.24</t>
        </is>
      </c>
      <c r="L71" t="inlineStr">
        <is>
          <t>This land enters tapped. As it enters, choose a color other than green. {T}: Add {G} or one mana of the chosen color.</t>
        </is>
      </c>
    </row>
    <row r="72" ht="270" customHeight="1">
      <c r="A72" t="inlineStr">
        <is>
          <t>1</t>
        </is>
      </c>
      <c r="B72" t="inlineStr">
        <is>
          <t>Thriving Moor</t>
        </is>
      </c>
      <c r="C72" t="b">
        <v>1</v>
      </c>
      <c r="D72" t="b">
        <v>0</v>
      </c>
      <c r="E72" t="inlineStr"/>
      <c r="F72" t="inlineStr">
        <is>
          <t>Lands</t>
        </is>
      </c>
      <c r="G72" t="inlineStr">
        <is>
          <t>Common</t>
        </is>
      </c>
      <c r="H72" t="inlineStr">
        <is>
          <t>MSC</t>
        </is>
      </c>
      <c r="I72" t="inlineStr">
        <is>
          <t>0</t>
        </is>
      </c>
      <c r="J72">
        <f>IMAGE("https://api.scryfall.com/cards/named?exact=Thriving%20Moor&amp;format=image&amp;version=normal")</f>
        <v/>
      </c>
      <c r="K72" t="inlineStr">
        <is>
          <t>$0.24</t>
        </is>
      </c>
      <c r="L72" t="inlineStr">
        <is>
          <t>This land enters tapped. As it enters, choose a color other than black. {T}: Add {B} or one mana of the chosen color.</t>
        </is>
      </c>
    </row>
    <row r="73" ht="270" customHeight="1">
      <c r="A73" t="inlineStr">
        <is>
          <t>1</t>
        </is>
      </c>
      <c r="B73" t="inlineStr">
        <is>
          <t>Titan's Grave</t>
        </is>
      </c>
      <c r="C73" t="b">
        <v>1</v>
      </c>
      <c r="D73" t="b">
        <v>0</v>
      </c>
      <c r="E73" t="inlineStr"/>
      <c r="F73" t="inlineStr">
        <is>
          <t>Lands</t>
        </is>
      </c>
      <c r="G73" t="inlineStr">
        <is>
          <t>Common</t>
        </is>
      </c>
      <c r="H73" t="inlineStr">
        <is>
          <t>SOS</t>
        </is>
      </c>
      <c r="I73" t="inlineStr">
        <is>
          <t>0</t>
        </is>
      </c>
      <c r="J73">
        <f>IMAGE("https://api.scryfall.com/cards/named?exact=Titan%27s%20Grave&amp;format=image&amp;version=normal")</f>
        <v/>
      </c>
      <c r="K73" t="inlineStr">
        <is>
          <t>$0.12</t>
        </is>
      </c>
      <c r="L73" t="inlineStr">
        <is>
          <t>This land enters tapped. {T}: Add {B} or {G}. {2}{B}{G}, {T}: Surveil 1. (Look at the top card of your library. You may put it into your graveyard.)</t>
        </is>
      </c>
    </row>
    <row r="74" ht="270" customHeight="1">
      <c r="A74" t="inlineStr">
        <is>
          <t>1</t>
        </is>
      </c>
      <c r="B74" t="inlineStr">
        <is>
          <t>Twitching Doll</t>
        </is>
      </c>
      <c r="C74" t="b">
        <v>1</v>
      </c>
      <c r="D74" t="b">
        <v>0</v>
      </c>
      <c r="E74" t="inlineStr"/>
      <c r="F74" t="inlineStr">
        <is>
          <t>Ramp</t>
        </is>
      </c>
      <c r="G74" t="inlineStr">
        <is>
          <t>Rare</t>
        </is>
      </c>
      <c r="H74" t="inlineStr">
        <is>
          <t>DSK</t>
        </is>
      </c>
      <c r="I74" t="inlineStr">
        <is>
          <t>2</t>
        </is>
      </c>
      <c r="J74">
        <f>IMAGE("https://api.scryfall.com/cards/named?exact=Twitching%20Doll&amp;format=image&amp;version=normal")</f>
        <v/>
      </c>
      <c r="K74" t="inlineStr">
        <is>
          <t>$2.60</t>
        </is>
      </c>
      <c r="L74" t="inlineStr">
        <is>
          <t>{T}: Add one mana of any color. Put a nest counter on this creature. {T}, Sacrifice this creature: Create a 2/2 green Spider creature token with reach for each counter on this creature. Activate only as a sorcery.</t>
        </is>
      </c>
    </row>
    <row r="75" ht="270" customHeight="1">
      <c r="A75" t="inlineStr">
        <is>
          <t>1</t>
        </is>
      </c>
      <c r="B75" t="inlineStr">
        <is>
          <t>Undercover Skrull</t>
        </is>
      </c>
      <c r="C75" t="b">
        <v>1</v>
      </c>
      <c r="D75" t="b">
        <v>0</v>
      </c>
      <c r="E75" t="inlineStr"/>
      <c r="F75" t="inlineStr">
        <is>
          <t>Ramp</t>
        </is>
      </c>
      <c r="G75" t="inlineStr">
        <is>
          <t>Common</t>
        </is>
      </c>
      <c r="H75" t="inlineStr">
        <is>
          <t>MSH</t>
        </is>
      </c>
      <c r="I75" t="inlineStr">
        <is>
          <t>2</t>
        </is>
      </c>
      <c r="J75">
        <f>IMAGE("https://api.scryfall.com/cards/named?exact=Undercover%20Skrull&amp;format=image&amp;version=normal")</f>
        <v/>
      </c>
      <c r="K75" t="inlineStr">
        <is>
          <t>$0.12</t>
        </is>
      </c>
      <c r="L75" t="inlineStr">
        <is>
          <t>As long as there are two or more creature cards in your graveyard, this creature gets +2/+2 and is all creature types. {T}: Add one mana of any color.</t>
        </is>
      </c>
    </row>
    <row r="76" ht="270" customHeight="1">
      <c r="A76" t="inlineStr">
        <is>
          <t>1</t>
        </is>
      </c>
      <c r="B76" t="inlineStr">
        <is>
          <t>Villainous Wrath</t>
        </is>
      </c>
      <c r="C76" t="b">
        <v>1</v>
      </c>
      <c r="D76" t="b">
        <v>0</v>
      </c>
      <c r="E76" t="inlineStr"/>
      <c r="F76" t="inlineStr">
        <is>
          <t>Wrath</t>
        </is>
      </c>
      <c r="G76" t="inlineStr">
        <is>
          <t>Rare</t>
        </is>
      </c>
      <c r="H76" t="inlineStr">
        <is>
          <t>SPM</t>
        </is>
      </c>
      <c r="I76" t="inlineStr">
        <is>
          <t>5</t>
        </is>
      </c>
      <c r="J76">
        <f>IMAGE("https://api.scryfall.com/cards/named?exact=Villainous%20Wrath&amp;format=image&amp;version=normal")</f>
        <v/>
      </c>
      <c r="K76" t="inlineStr">
        <is>
          <t>$0.94</t>
        </is>
      </c>
      <c r="L76" t="inlineStr">
        <is>
          <t>Target opponent loses life equal to the number of creatures they control. Then destroy all creatures.</t>
        </is>
      </c>
    </row>
    <row r="77" ht="270" customHeight="1">
      <c r="A77" t="inlineStr">
        <is>
          <t>1</t>
        </is>
      </c>
      <c r="B77" t="inlineStr">
        <is>
          <t>Witherbloom Charm</t>
        </is>
      </c>
      <c r="C77" t="b">
        <v>1</v>
      </c>
      <c r="D77" t="b">
        <v>0</v>
      </c>
      <c r="E77" t="inlineStr"/>
      <c r="F77" t="inlineStr">
        <is>
          <t>Interaction</t>
        </is>
      </c>
      <c r="G77" t="inlineStr">
        <is>
          <t>Uncommon</t>
        </is>
      </c>
      <c r="H77" t="inlineStr">
        <is>
          <t>SOS</t>
        </is>
      </c>
      <c r="I77" t="inlineStr">
        <is>
          <t>2</t>
        </is>
      </c>
      <c r="J77">
        <f>IMAGE("https://api.scryfall.com/cards/named?exact=Witherbloom%20Charm&amp;format=image&amp;version=normal")</f>
        <v/>
      </c>
      <c r="K77" t="inlineStr">
        <is>
          <t>$0.32</t>
        </is>
      </c>
      <c r="L77" t="inlineStr">
        <is>
          <t>Choose one — • You may sacrifice a permanent. If you do, draw two cards. • You gain 5 life. • Destroy target nonland permanent with mana value 2 or less.</t>
        </is>
      </c>
    </row>
    <row r="78" ht="270" customHeight="1">
      <c r="A78" t="inlineStr">
        <is>
          <t>1</t>
        </is>
      </c>
      <c r="B78" t="inlineStr">
        <is>
          <t>Zask, Skittering Swarmlord</t>
        </is>
      </c>
      <c r="C78" t="b">
        <v>1</v>
      </c>
      <c r="D78" t="b">
        <v>0</v>
      </c>
      <c r="E78" t="inlineStr"/>
      <c r="F78" t="inlineStr">
        <is>
          <t>On Theme</t>
        </is>
      </c>
      <c r="G78" t="inlineStr">
        <is>
          <t>Rare</t>
        </is>
      </c>
      <c r="H78" t="inlineStr">
        <is>
          <t>J22</t>
        </is>
      </c>
      <c r="I78" t="inlineStr">
        <is>
          <t>5</t>
        </is>
      </c>
      <c r="J78">
        <f>IMAGE("https://api.scryfall.com/cards/named?exact=Zask%2C%20Skittering%20Swarmlord&amp;format=image&amp;version=normal")</f>
        <v/>
      </c>
      <c r="K78" t="inlineStr">
        <is>
          <t>$32.27</t>
        </is>
      </c>
      <c r="L78" t="inlineStr">
        <is>
          <t>You may play lands and cast Insect spells from your graveyard. Whenever another Insect you control dies, put it on the bottom of its owner's library, then mill two cards. (Put the top two cards of your library into your graveyard.) {1}{B/G}: Target Insect gets +1/+0 and gains deathtouch until end of turn. ({B/G} can be paid with either {B} or {G}.)</t>
        </is>
      </c>
    </row>
    <row r="80">
      <c r="A80" t="inlineStr">
        <is>
          <t>Total Cost (Have Physical Copy = false)</t>
        </is>
      </c>
      <c r="K80" s="2">
        <f>SUMPRODUCT(--(LOWER(TEXT($C$2:$C$78,"@"))="false"),IFERROR(VALUE(SUBSTITUTE($K$2:$K$78,"$","")),0))</f>
        <v/>
      </c>
    </row>
  </sheetData>
  <conditionalFormatting sqref="C2:C78">
    <cfRule type="expression" priority="1" dxfId="0">
      <formula>=OR($C2=TRUE,LOWER(TEXT($C2,"@"))="true")</formula>
    </cfRule>
    <cfRule type="expression" priority="2" dxfId="1">
      <formula>=OR($C2=FALSE,LOWER(TEXT($C2,"@"))="false")</formula>
    </cfRule>
  </conditionalFormatting>
  <conditionalFormatting sqref="D2:D78">
    <cfRule type="expression" priority="3" dxfId="2">
      <formula>=OR($D2=TRUE,LOWER(TEXT($D2,"@"))="true")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Conditional formatting rules</t>
        </is>
      </c>
    </row>
    <row r="2">
      <c r="A2" t="inlineStr">
        <is>
          <t>Have Physical Copy: TRUE = green, FALSE = yellow</t>
        </is>
      </c>
    </row>
    <row r="3">
      <c r="A3" t="inlineStr">
        <is>
          <t>Cut: TRUE = red</t>
        </is>
      </c>
    </row>
    <row r="5">
      <c r="A5" t="inlineStr">
        <is>
          <t>Have Physical Copy formula (green)</t>
        </is>
      </c>
    </row>
    <row r="6">
      <c r="A6">
        <f>OR($C2=TRUE,LOWER(TEXT($C2,"@"))="true")</f>
        <v/>
      </c>
    </row>
    <row r="7">
      <c r="A7" t="inlineStr">
        <is>
          <t>Have Physical Copy formula (yellow)</t>
        </is>
      </c>
    </row>
    <row r="8">
      <c r="A8">
        <f>OR($C2=FALSE,LOWER(TEXT($C2,"@"))="false")</f>
        <v/>
      </c>
    </row>
    <row r="9">
      <c r="A9" t="inlineStr">
        <is>
          <t>Cut formula (red)</t>
        </is>
      </c>
    </row>
    <row r="10">
      <c r="A10">
        <f>OR($D2=TRUE,LOWER(TEXT($D2,"@"))="true")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2026-07-04T00:38:35Z</dcterms:created>
  <dcterms:modified xsi:type="dcterms:W3CDTF">2026-07-04T00:38:35Z</dcterms:modified>
</cp:coreProperties>
</file>