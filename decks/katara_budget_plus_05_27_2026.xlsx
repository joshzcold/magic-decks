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k" sheetId="1" state="visible" r:id="rId1"/>
    <sheet name="Formatting"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sz val="14"/>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dxfs count="3">
    <dxf>
      <fill>
        <patternFill patternType="solid">
          <fgColor rgb="00C6EFCE"/>
          <bgColor rgb="00C6EFCE"/>
        </patternFill>
      </fill>
    </dxf>
    <dxf>
      <fill>
        <patternFill patternType="solid">
          <fgColor rgb="00FFF2CC"/>
          <bgColor rgb="00FFF2CC"/>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
  <sheetViews>
    <sheetView workbookViewId="0">
      <pane ySplit="1" topLeftCell="A2" activePane="bottomLeft" state="frozen"/>
      <selection pane="bottomLeft" activeCell="A1" sqref="A1"/>
    </sheetView>
  </sheetViews>
  <sheetFormatPr baseColWidth="8" defaultRowHeight="15"/>
  <cols>
    <col width="16.86" customWidth="1" min="1" max="1"/>
    <col width="16.86" customWidth="1" min="2" max="2"/>
    <col width="16.86" customWidth="1" min="3" max="3"/>
    <col width="16.86" customWidth="1" min="4" max="4"/>
    <col width="16.86" customWidth="1" min="5" max="5"/>
    <col width="16.86" customWidth="1" min="6" max="6"/>
    <col width="16.86" customWidth="1" min="7" max="7"/>
    <col width="16.86" customWidth="1" min="8" max="8"/>
    <col width="16.86" customWidth="1" min="9" max="9"/>
    <col width="101.16" customWidth="1" min="10" max="10"/>
    <col width="16.86" customWidth="1" min="11" max="11"/>
    <col width="16.86" customWidth="1" min="12" max="12"/>
  </cols>
  <sheetData>
    <row r="1">
      <c r="A1" s="1" t="inlineStr">
        <is>
          <t>Quantity</t>
        </is>
      </c>
      <c r="B1" s="1" t="inlineStr">
        <is>
          <t>Card Title</t>
        </is>
      </c>
      <c r="C1" s="1" t="inlineStr">
        <is>
          <t>Have Physical Copy</t>
        </is>
      </c>
      <c r="D1" s="1" t="inlineStr">
        <is>
          <t>Cut</t>
        </is>
      </c>
      <c r="E1" s="1" t="inlineStr">
        <is>
          <t>Cut Reason</t>
        </is>
      </c>
      <c r="F1" s="1" t="inlineStr">
        <is>
          <t>Deck Rule</t>
        </is>
      </c>
      <c r="G1" s="1" t="inlineStr">
        <is>
          <t>Rarity</t>
        </is>
      </c>
      <c r="H1" s="1" t="inlineStr">
        <is>
          <t>MTG Edition</t>
        </is>
      </c>
      <c r="I1" s="1" t="inlineStr">
        <is>
          <t>Mana Value</t>
        </is>
      </c>
      <c r="J1" s="1" t="inlineStr">
        <is>
          <t>Image</t>
        </is>
      </c>
      <c r="K1" s="1" t="inlineStr">
        <is>
          <t>Price</t>
        </is>
      </c>
      <c r="L1" s="1" t="inlineStr">
        <is>
          <t>Rule Text</t>
        </is>
      </c>
    </row>
    <row r="2" ht="270" customHeight="1">
      <c r="A2" t="inlineStr">
        <is>
          <t>1</t>
        </is>
      </c>
      <c r="B2" t="inlineStr">
        <is>
          <t>Airbender's Reversal</t>
        </is>
      </c>
      <c r="C2" t="b">
        <v>1</v>
      </c>
      <c r="D2" t="b">
        <v>0</v>
      </c>
      <c r="E2" t="inlineStr"/>
      <c r="F2" t="inlineStr">
        <is>
          <t>Interaction</t>
        </is>
      </c>
      <c r="G2" t="inlineStr">
        <is>
          <t>Uncommon</t>
        </is>
      </c>
      <c r="H2" t="inlineStr">
        <is>
          <t>TLA</t>
        </is>
      </c>
      <c r="I2" t="inlineStr">
        <is>
          <t>2</t>
        </is>
      </c>
      <c r="J2">
        <f>IMAGE("https://api.scryfall.com/cards/named?exact=Airbender%27s%20Reversal&amp;format=image&amp;version=normal")</f>
        <v/>
      </c>
      <c r="K2" t="inlineStr">
        <is>
          <t>$0.24</t>
        </is>
      </c>
      <c r="L2" t="inlineStr">
        <is>
          <t>Choose one — • Destroy target attacking creature. • Airbend target creature you control. (Exile it. While it's exiled, its owner may cast it for {2} rather than its mana cost.)</t>
        </is>
      </c>
    </row>
    <row r="3" ht="270" customHeight="1">
      <c r="A3" t="inlineStr">
        <is>
          <t>1</t>
        </is>
      </c>
      <c r="B3" t="inlineStr">
        <is>
          <t>Alandra, Sky Dreamer</t>
        </is>
      </c>
      <c r="C3" t="b">
        <v>0</v>
      </c>
      <c r="D3" t="b">
        <v>0</v>
      </c>
      <c r="E3" t="inlineStr"/>
      <c r="F3" t="inlineStr">
        <is>
          <t>On Theme</t>
        </is>
      </c>
      <c r="G3" t="inlineStr">
        <is>
          <t>Rare</t>
        </is>
      </c>
      <c r="H3" t="inlineStr">
        <is>
          <t>MKC</t>
        </is>
      </c>
      <c r="I3" t="inlineStr">
        <is>
          <t>4</t>
        </is>
      </c>
      <c r="J3">
        <f>IMAGE("https://api.scryfall.com/cards/named?exact=Alandra%2C%20Sky%20Dreamer&amp;format=image&amp;version=normal")</f>
        <v/>
      </c>
      <c r="K3" t="inlineStr">
        <is>
          <t>$4.68</t>
        </is>
      </c>
      <c r="L3" t="inlineStr">
        <is>
          <t>Whenever you draw your second card each turn, create a 2/2 blue Drake creature token with flying. Whenever you draw your fifth card each turn, Alandra and Drakes you control each get +X/+X until end of turn, where X is the number of cards in your hand.</t>
        </is>
      </c>
    </row>
    <row r="4" ht="270" customHeight="1">
      <c r="A4" t="inlineStr">
        <is>
          <t>1</t>
        </is>
      </c>
      <c r="B4" t="inlineStr">
        <is>
          <t>Arcane Signet</t>
        </is>
      </c>
      <c r="C4" t="b">
        <v>1</v>
      </c>
      <c r="D4" t="b">
        <v>0</v>
      </c>
      <c r="E4" t="inlineStr"/>
      <c r="F4" t="inlineStr">
        <is>
          <t>Ramp</t>
        </is>
      </c>
      <c r="G4" t="inlineStr">
        <is>
          <t>Mythic</t>
        </is>
      </c>
      <c r="H4" t="inlineStr">
        <is>
          <t>HOC</t>
        </is>
      </c>
      <c r="I4" t="inlineStr">
        <is>
          <t>2</t>
        </is>
      </c>
      <c r="J4">
        <f>IMAGE("https://api.scryfall.com/cards/named?exact=Arcane%20Signet&amp;format=image&amp;version=normal")</f>
        <v/>
      </c>
      <c r="K4" t="inlineStr"/>
      <c r="L4" t="inlineStr">
        <is>
          <t>{T}: Add one mana of any color in your commander's color identity.</t>
        </is>
      </c>
    </row>
    <row r="5" ht="270" customHeight="1">
      <c r="A5" t="inlineStr">
        <is>
          <t>1</t>
        </is>
      </c>
      <c r="B5" t="inlineStr">
        <is>
          <t>Archaeomancer's Map</t>
        </is>
      </c>
      <c r="C5" t="b">
        <v>1</v>
      </c>
      <c r="D5" t="b">
        <v>0</v>
      </c>
      <c r="E5" t="inlineStr"/>
      <c r="F5" t="inlineStr">
        <is>
          <t>Ramp</t>
        </is>
      </c>
      <c r="G5" t="inlineStr">
        <is>
          <t>Rare</t>
        </is>
      </c>
      <c r="H5" t="inlineStr">
        <is>
          <t>SOC</t>
        </is>
      </c>
      <c r="I5" t="inlineStr">
        <is>
          <t>3</t>
        </is>
      </c>
      <c r="J5">
        <f>IMAGE("https://api.scryfall.com/cards/named?exact=Archaeomancer%27s%20Map&amp;format=image&amp;version=normal")</f>
        <v/>
      </c>
      <c r="K5" t="inlineStr">
        <is>
          <t>$1.30</t>
        </is>
      </c>
      <c r="L5" t="inlineStr">
        <is>
          <t>When this artifact enters, search your library for up to two basic Plains cards, reveal them, put them into your hand, then shuffle. Whenever a land an opponent controls enters, if that player controls more lands than you, you may put a land card from your hand onto the battlefield.</t>
        </is>
      </c>
    </row>
    <row r="6" ht="270" customHeight="1">
      <c r="A6" t="inlineStr">
        <is>
          <t>1</t>
        </is>
      </c>
      <c r="B6" t="inlineStr">
        <is>
          <t>Aven Wind Guide</t>
        </is>
      </c>
      <c r="C6" t="b">
        <v>1</v>
      </c>
      <c r="D6" t="b">
        <v>0</v>
      </c>
      <c r="E6" t="inlineStr"/>
      <c r="F6" t="inlineStr">
        <is>
          <t>On Theme</t>
        </is>
      </c>
      <c r="G6" t="inlineStr">
        <is>
          <t>Uncommon</t>
        </is>
      </c>
      <c r="H6" t="inlineStr">
        <is>
          <t>AKH</t>
        </is>
      </c>
      <c r="I6" t="inlineStr">
        <is>
          <t>4</t>
        </is>
      </c>
      <c r="J6">
        <f>IMAGE("https://api.scryfall.com/cards/named?exact=Aven%20Wind%20Guide&amp;format=image&amp;version=normal")</f>
        <v/>
      </c>
      <c r="K6" t="inlineStr">
        <is>
          <t>$0.31</t>
        </is>
      </c>
      <c r="L6" t="inlineStr">
        <is>
          <t>Flying, vigilance Creature tokens you control have flying and vigilance. Embalm {4}{W}{U} ({4}{W}{U}, Exile this card from your graveyard: Create a token that's a copy of it, except it's a white Zombie Bird Warrior with no mana cost. Embalm only as a sorcery.)</t>
        </is>
      </c>
    </row>
    <row r="7" ht="270" customHeight="1">
      <c r="A7" t="inlineStr">
        <is>
          <t>1</t>
        </is>
      </c>
      <c r="B7" t="inlineStr">
        <is>
          <t>Azorius Signet</t>
        </is>
      </c>
      <c r="C7" t="b">
        <v>1</v>
      </c>
      <c r="D7" t="b">
        <v>0</v>
      </c>
      <c r="E7" t="inlineStr"/>
      <c r="F7" t="inlineStr">
        <is>
          <t>Ramp</t>
        </is>
      </c>
      <c r="G7" t="inlineStr">
        <is>
          <t>Uncommon</t>
        </is>
      </c>
      <c r="H7" t="inlineStr">
        <is>
          <t>TDC</t>
        </is>
      </c>
      <c r="I7" t="inlineStr">
        <is>
          <t>2</t>
        </is>
      </c>
      <c r="J7">
        <f>IMAGE("https://api.scryfall.com/cards/named?exact=Azorius%20Signet&amp;format=image&amp;version=normal")</f>
        <v/>
      </c>
      <c r="K7" t="inlineStr">
        <is>
          <t>$0.24</t>
        </is>
      </c>
      <c r="L7" t="inlineStr">
        <is>
          <t>{1}, {T}: Add {W}{U}.</t>
        </is>
      </c>
    </row>
    <row r="8" ht="270" customHeight="1">
      <c r="A8" t="inlineStr">
        <is>
          <t>1</t>
        </is>
      </c>
      <c r="B8" t="inlineStr">
        <is>
          <t>Banishing Light</t>
        </is>
      </c>
      <c r="C8" t="b">
        <v>1</v>
      </c>
      <c r="D8" t="b">
        <v>0</v>
      </c>
      <c r="E8" t="inlineStr"/>
      <c r="F8" t="inlineStr">
        <is>
          <t>Interaction</t>
        </is>
      </c>
      <c r="G8" t="inlineStr">
        <is>
          <t>Common</t>
        </is>
      </c>
      <c r="H8" t="inlineStr">
        <is>
          <t>EOE</t>
        </is>
      </c>
      <c r="I8" t="inlineStr">
        <is>
          <t>3</t>
        </is>
      </c>
      <c r="J8">
        <f>IMAGE("https://api.scryfall.com/cards/named?exact=Banishing%20Light&amp;format=image&amp;version=normal")</f>
        <v/>
      </c>
      <c r="K8" t="inlineStr">
        <is>
          <t>$0.21</t>
        </is>
      </c>
      <c r="L8" t="inlineStr">
        <is>
          <t>When this enchantment enters, exile target nonland permanent an opponent controls until this enchantment leaves the battlefield.</t>
        </is>
      </c>
    </row>
    <row r="9" ht="270" customHeight="1">
      <c r="A9" t="inlineStr">
        <is>
          <t>1</t>
        </is>
      </c>
      <c r="B9" t="inlineStr">
        <is>
          <t>Bident of Thassa</t>
        </is>
      </c>
      <c r="C9" t="b">
        <v>0</v>
      </c>
      <c r="D9" t="b">
        <v>0</v>
      </c>
      <c r="E9" t="inlineStr"/>
      <c r="F9" t="inlineStr">
        <is>
          <t>Card Advantage</t>
        </is>
      </c>
      <c r="G9" t="inlineStr">
        <is>
          <t>Rare</t>
        </is>
      </c>
      <c r="H9" t="inlineStr">
        <is>
          <t>BLC</t>
        </is>
      </c>
      <c r="I9" t="inlineStr">
        <is>
          <t>4</t>
        </is>
      </c>
      <c r="J9">
        <f>IMAGE("https://api.scryfall.com/cards/named?exact=Bident%20of%20Thassa&amp;format=image&amp;version=normal")</f>
        <v/>
      </c>
      <c r="K9" t="inlineStr">
        <is>
          <t>$0.37</t>
        </is>
      </c>
      <c r="L9" t="inlineStr">
        <is>
          <t>Whenever a creature you control deals combat damage to a player, you may draw a card. {1}{U}, {T}: Creatures your opponents control attack this turn if able.</t>
        </is>
      </c>
    </row>
    <row r="10" ht="270" customHeight="1">
      <c r="A10" t="inlineStr">
        <is>
          <t>1</t>
        </is>
      </c>
      <c r="B10" t="inlineStr">
        <is>
          <t>Bygone Bishop</t>
        </is>
      </c>
      <c r="C10" t="b">
        <v>0</v>
      </c>
      <c r="D10" t="b">
        <v>0</v>
      </c>
      <c r="E10" t="inlineStr"/>
      <c r="F10" t="inlineStr">
        <is>
          <t>Card Advantage</t>
        </is>
      </c>
      <c r="G10" t="inlineStr">
        <is>
          <t>Rare</t>
        </is>
      </c>
      <c r="H10" t="inlineStr">
        <is>
          <t>CLB</t>
        </is>
      </c>
      <c r="I10" t="inlineStr">
        <is>
          <t>3</t>
        </is>
      </c>
      <c r="J10">
        <f>IMAGE("https://api.scryfall.com/cards/named?exact=Bygone%20Bishop&amp;format=image&amp;version=normal")</f>
        <v/>
      </c>
      <c r="K10" t="inlineStr">
        <is>
          <t>$0.31</t>
        </is>
      </c>
      <c r="L10" t="inlineStr">
        <is>
          <t>Flying Whenever you cast a creature spell with mana value 3 or less, investigate. (Create a Clue token. It's an artifact with "{2}, Sacrifice this token: Draw a card.")</t>
        </is>
      </c>
    </row>
    <row r="11" ht="270" customHeight="1">
      <c r="A11" t="inlineStr">
        <is>
          <t>1</t>
        </is>
      </c>
      <c r="B11" t="inlineStr">
        <is>
          <t>Captain of the Watch</t>
        </is>
      </c>
      <c r="C11" t="b">
        <v>0</v>
      </c>
      <c r="D11" t="b">
        <v>0</v>
      </c>
      <c r="E11" t="inlineStr"/>
      <c r="F11" t="inlineStr">
        <is>
          <t>On Theme</t>
        </is>
      </c>
      <c r="G11" t="inlineStr">
        <is>
          <t>Rare</t>
        </is>
      </c>
      <c r="H11" t="inlineStr">
        <is>
          <t>PIP</t>
        </is>
      </c>
      <c r="I11" t="inlineStr">
        <is>
          <t>6</t>
        </is>
      </c>
      <c r="J11">
        <f>IMAGE("https://api.scryfall.com/cards/named?exact=Captain%20of%20the%20Watch&amp;format=image&amp;version=normal")</f>
        <v/>
      </c>
      <c r="K11" t="inlineStr"/>
      <c r="L11" t="inlineStr">
        <is>
          <t>Vigilance (Attacking doesn't cause this creature to tap.) Other Soldier creatures you control get +1/+1 and have vigilance. When this creature enters, create three 1/1 white Soldier creature tokens.</t>
        </is>
      </c>
    </row>
    <row r="12" ht="270" customHeight="1">
      <c r="A12" t="inlineStr">
        <is>
          <t>1</t>
        </is>
      </c>
      <c r="B12" t="inlineStr">
        <is>
          <t>Clarion Spirit</t>
        </is>
      </c>
      <c r="C12" t="b">
        <v>0</v>
      </c>
      <c r="D12" t="b">
        <v>0</v>
      </c>
      <c r="E12" t="inlineStr"/>
      <c r="F12" t="inlineStr">
        <is>
          <t>On Theme</t>
        </is>
      </c>
      <c r="G12" t="inlineStr">
        <is>
          <t>Uncommon</t>
        </is>
      </c>
      <c r="H12" t="inlineStr">
        <is>
          <t>PLST</t>
        </is>
      </c>
      <c r="I12" t="inlineStr">
        <is>
          <t>2</t>
        </is>
      </c>
      <c r="J12">
        <f>IMAGE("https://api.scryfall.com/cards/named?exact=Clarion%20Spirit&amp;format=image&amp;version=normal")</f>
        <v/>
      </c>
      <c r="K12" t="inlineStr">
        <is>
          <t>$0.22</t>
        </is>
      </c>
      <c r="L12" t="inlineStr">
        <is>
          <t>Whenever you cast your second spell each turn, create a 1/1 white Spirit creature token with flying.</t>
        </is>
      </c>
    </row>
    <row r="13" ht="270" customHeight="1">
      <c r="A13" t="inlineStr">
        <is>
          <t>1</t>
        </is>
      </c>
      <c r="B13" t="inlineStr">
        <is>
          <t>Coastal Piracy</t>
        </is>
      </c>
      <c r="C13" t="b">
        <v>1</v>
      </c>
      <c r="D13" t="b">
        <v>0</v>
      </c>
      <c r="E13" t="inlineStr"/>
      <c r="F13" t="inlineStr">
        <is>
          <t>Card Advantage</t>
        </is>
      </c>
      <c r="G13" t="inlineStr">
        <is>
          <t>Uncommon</t>
        </is>
      </c>
      <c r="H13" t="inlineStr">
        <is>
          <t>TLE</t>
        </is>
      </c>
      <c r="I13" t="inlineStr">
        <is>
          <t>4</t>
        </is>
      </c>
      <c r="J13">
        <f>IMAGE("https://api.scryfall.com/cards/named?exact=Coastal%20Piracy&amp;format=image&amp;version=normal")</f>
        <v/>
      </c>
      <c r="K13" t="inlineStr">
        <is>
          <t>$0.28</t>
        </is>
      </c>
      <c r="L13" t="inlineStr">
        <is>
          <t>Whenever a creature you control deals combat damage to an opponent, you may draw a card.</t>
        </is>
      </c>
    </row>
    <row r="14" ht="270" customHeight="1">
      <c r="A14" t="inlineStr">
        <is>
          <t>1</t>
        </is>
      </c>
      <c r="B14" t="inlineStr">
        <is>
          <t>Command Tower</t>
        </is>
      </c>
      <c r="C14" t="b">
        <v>0</v>
      </c>
      <c r="D14" t="b">
        <v>0</v>
      </c>
      <c r="E14" t="inlineStr"/>
      <c r="F14" t="inlineStr">
        <is>
          <t>Lands</t>
        </is>
      </c>
      <c r="G14" t="inlineStr">
        <is>
          <t>Common</t>
        </is>
      </c>
      <c r="H14" t="inlineStr">
        <is>
          <t>SOC</t>
        </is>
      </c>
      <c r="I14" t="inlineStr">
        <is>
          <t>0</t>
        </is>
      </c>
      <c r="J14">
        <f>IMAGE("https://api.scryfall.com/cards/named?exact=Command%20Tower&amp;format=image&amp;version=normal")</f>
        <v/>
      </c>
      <c r="K14" t="inlineStr">
        <is>
          <t>$0.25</t>
        </is>
      </c>
      <c r="L14" t="inlineStr">
        <is>
          <t>{T}: Add one mana of any color in your commander's color identity.</t>
        </is>
      </c>
    </row>
    <row r="15" ht="270" customHeight="1">
      <c r="A15" t="inlineStr">
        <is>
          <t>1</t>
        </is>
      </c>
      <c r="B15" t="inlineStr">
        <is>
          <t>Curious Farm Animals</t>
        </is>
      </c>
      <c r="C15" t="b">
        <v>1</v>
      </c>
      <c r="D15" t="b">
        <v>0</v>
      </c>
      <c r="E15" t="inlineStr"/>
      <c r="F15" t="inlineStr">
        <is>
          <t>Interaction</t>
        </is>
      </c>
      <c r="G15" t="inlineStr">
        <is>
          <t>Common</t>
        </is>
      </c>
      <c r="H15" t="inlineStr">
        <is>
          <t>TLA</t>
        </is>
      </c>
      <c r="I15" t="inlineStr">
        <is>
          <t>1</t>
        </is>
      </c>
      <c r="J15">
        <f>IMAGE("https://api.scryfall.com/cards/named?exact=Curious%20Farm%20Animals&amp;format=image&amp;version=normal")</f>
        <v/>
      </c>
      <c r="K15" t="inlineStr">
        <is>
          <t>$0.16</t>
        </is>
      </c>
      <c r="L15" t="inlineStr">
        <is>
          <t>When this creature dies, you gain 3 life. {2}, Sacrifice this creature: Destroy up to one target artifact or enchantment.</t>
        </is>
      </c>
    </row>
    <row r="16" ht="270" customHeight="1">
      <c r="A16" t="inlineStr">
        <is>
          <t>1</t>
        </is>
      </c>
      <c r="B16" t="inlineStr">
        <is>
          <t>Decree of Justice</t>
        </is>
      </c>
      <c r="C16" t="b">
        <v>1</v>
      </c>
      <c r="D16" t="b">
        <v>0</v>
      </c>
      <c r="E16" t="inlineStr"/>
      <c r="F16" t="inlineStr">
        <is>
          <t>Card Advantage</t>
        </is>
      </c>
      <c r="G16" t="inlineStr">
        <is>
          <t>Uncommon</t>
        </is>
      </c>
      <c r="H16" t="inlineStr">
        <is>
          <t>MH3</t>
        </is>
      </c>
      <c r="I16" t="inlineStr">
        <is>
          <t>4</t>
        </is>
      </c>
      <c r="J16">
        <f>IMAGE("https://api.scryfall.com/cards/named?exact=Decree%20of%20Justice&amp;format=image&amp;version=normal")</f>
        <v/>
      </c>
      <c r="K16" t="inlineStr">
        <is>
          <t>$0.27</t>
        </is>
      </c>
      <c r="L16" t="inlineStr">
        <is>
          <t>Create X 4/4 white Angel creature tokens with flying. Cycling {2}{W} ({2}{W}, Discard this card: Draw a card.) When you cycle this card, you may pay {X}. If you do, create X 1/1 white Soldier creature tokens.</t>
        </is>
      </c>
    </row>
    <row r="17" ht="270" customHeight="1">
      <c r="A17" t="inlineStr">
        <is>
          <t>1</t>
        </is>
      </c>
      <c r="B17" t="inlineStr">
        <is>
          <t>Earth Kingdom Jailer</t>
        </is>
      </c>
      <c r="C17" t="b">
        <v>1</v>
      </c>
      <c r="D17" t="b">
        <v>0</v>
      </c>
      <c r="E17" t="inlineStr"/>
      <c r="F17" t="inlineStr">
        <is>
          <t>Interaction</t>
        </is>
      </c>
      <c r="G17" t="inlineStr">
        <is>
          <t>Uncommon</t>
        </is>
      </c>
      <c r="H17" t="inlineStr">
        <is>
          <t>TLA</t>
        </is>
      </c>
      <c r="I17" t="inlineStr">
        <is>
          <t>3</t>
        </is>
      </c>
      <c r="J17">
        <f>IMAGE("https://api.scryfall.com/cards/named?exact=Earth%20Kingdom%20Jailer&amp;format=image&amp;version=normal")</f>
        <v/>
      </c>
      <c r="K17" t="inlineStr">
        <is>
          <t>$0.21</t>
        </is>
      </c>
      <c r="L17" t="inlineStr">
        <is>
          <t>When this creature enters, exile up to one target artifact, creature, or enchantment an opponent controls with mana value 3 or greater until this creature leaves the battlefield.</t>
        </is>
      </c>
    </row>
    <row r="18" ht="270" customHeight="1">
      <c r="A18" t="inlineStr">
        <is>
          <t>1</t>
        </is>
      </c>
      <c r="B18" t="inlineStr">
        <is>
          <t>Eluge, the Shoreless Sea</t>
        </is>
      </c>
      <c r="C18" t="b">
        <v>1</v>
      </c>
      <c r="D18" t="b">
        <v>0</v>
      </c>
      <c r="E18" t="inlineStr"/>
      <c r="F18" t="inlineStr">
        <is>
          <t>On Theme</t>
        </is>
      </c>
      <c r="G18" t="inlineStr">
        <is>
          <t>Mythic</t>
        </is>
      </c>
      <c r="H18" t="inlineStr">
        <is>
          <t>BLB</t>
        </is>
      </c>
      <c r="I18" t="inlineStr">
        <is>
          <t>4</t>
        </is>
      </c>
      <c r="J18">
        <f>IMAGE("https://api.scryfall.com/cards/named?exact=Eluge%2C%20the%20Shoreless%20Sea&amp;format=image&amp;version=normal")</f>
        <v/>
      </c>
      <c r="K18" t="inlineStr">
        <is>
          <t>$4.00</t>
        </is>
      </c>
      <c r="L18" t="inlineStr">
        <is>
          <t>Eluge's power and toughness are each equal to the number of Islands you control. Whenever Eluge enters or attacks, put a flood counter on target land. It's an Island in addition to its other types for as long as it has a flood counter on it. The first instant or sorcery spell you cast each turn costs {U} (or {1}) less to cast for each land you control with a flood counter on it.</t>
        </is>
      </c>
    </row>
    <row r="19" ht="270" customHeight="1">
      <c r="A19" t="inlineStr">
        <is>
          <t>1</t>
        </is>
      </c>
      <c r="B19" t="inlineStr">
        <is>
          <t>Emeria Angel</t>
        </is>
      </c>
      <c r="C19" t="b">
        <v>1</v>
      </c>
      <c r="D19" t="b">
        <v>0</v>
      </c>
      <c r="E19" t="inlineStr"/>
      <c r="F19" t="inlineStr">
        <is>
          <t>On Theme</t>
        </is>
      </c>
      <c r="G19" t="inlineStr">
        <is>
          <t>Rare</t>
        </is>
      </c>
      <c r="H19" t="inlineStr">
        <is>
          <t>TDC</t>
        </is>
      </c>
      <c r="I19" t="inlineStr">
        <is>
          <t>4</t>
        </is>
      </c>
      <c r="J19">
        <f>IMAGE("https://api.scryfall.com/cards/named?exact=Emeria%20Angel&amp;format=image&amp;version=normal")</f>
        <v/>
      </c>
      <c r="K19" t="inlineStr">
        <is>
          <t>$0.35</t>
        </is>
      </c>
      <c r="L19" t="inlineStr">
        <is>
          <t>Flying Landfall — Whenever a land you control enters, you may create a 1/1 white Bird creature token with flying.</t>
        </is>
      </c>
    </row>
    <row r="20" ht="270" customHeight="1">
      <c r="A20" t="inlineStr">
        <is>
          <t>1</t>
        </is>
      </c>
      <c r="B20" t="inlineStr">
        <is>
          <t>Empyrean Eagle</t>
        </is>
      </c>
      <c r="C20" t="b">
        <v>0</v>
      </c>
      <c r="D20" t="b">
        <v>0</v>
      </c>
      <c r="E20" t="inlineStr"/>
      <c r="F20" t="inlineStr">
        <is>
          <t>On Theme</t>
        </is>
      </c>
      <c r="G20" t="inlineStr">
        <is>
          <t>Uncommon</t>
        </is>
      </c>
      <c r="H20" t="inlineStr">
        <is>
          <t>FDN</t>
        </is>
      </c>
      <c r="I20" t="inlineStr">
        <is>
          <t>3</t>
        </is>
      </c>
      <c r="J20">
        <f>IMAGE("https://api.scryfall.com/cards/named?exact=Empyrean%20Eagle&amp;format=image&amp;version=normal")</f>
        <v/>
      </c>
      <c r="K20" t="inlineStr">
        <is>
          <t>$0.25</t>
        </is>
      </c>
      <c r="L20" t="inlineStr">
        <is>
          <t>Flying Other creatures you control with flying get +1/+1.</t>
        </is>
      </c>
    </row>
    <row r="21" ht="270" customHeight="1">
      <c r="A21" t="inlineStr">
        <is>
          <t>1</t>
        </is>
      </c>
      <c r="B21" t="inlineStr">
        <is>
          <t>Essence Scatter</t>
        </is>
      </c>
      <c r="C21" t="b">
        <v>1</v>
      </c>
      <c r="D21" t="b">
        <v>0</v>
      </c>
      <c r="E21" t="inlineStr"/>
      <c r="F21" t="inlineStr">
        <is>
          <t>Interaction</t>
        </is>
      </c>
      <c r="G21" t="inlineStr">
        <is>
          <t>Common</t>
        </is>
      </c>
      <c r="H21" t="inlineStr">
        <is>
          <t>SOS</t>
        </is>
      </c>
      <c r="I21" t="inlineStr">
        <is>
          <t>2</t>
        </is>
      </c>
      <c r="J21">
        <f>IMAGE("https://api.scryfall.com/cards/named?exact=Essence%20Scatter&amp;format=image&amp;version=normal")</f>
        <v/>
      </c>
      <c r="K21" t="inlineStr">
        <is>
          <t>$0.19</t>
        </is>
      </c>
      <c r="L21" t="inlineStr">
        <is>
          <t>Counter target creature spell.</t>
        </is>
      </c>
    </row>
    <row r="22" ht="270" customHeight="1">
      <c r="A22" t="inlineStr">
        <is>
          <t>1</t>
        </is>
      </c>
      <c r="B22" t="inlineStr">
        <is>
          <t>Ethereal Investigator</t>
        </is>
      </c>
      <c r="C22" t="b">
        <v>0</v>
      </c>
      <c r="D22" t="b">
        <v>0</v>
      </c>
      <c r="E22" t="inlineStr"/>
      <c r="F22" t="inlineStr">
        <is>
          <t>On Theme</t>
        </is>
      </c>
      <c r="G22" t="inlineStr">
        <is>
          <t>Rare</t>
        </is>
      </c>
      <c r="H22" t="inlineStr">
        <is>
          <t>MKC</t>
        </is>
      </c>
      <c r="I22" t="inlineStr">
        <is>
          <t>4</t>
        </is>
      </c>
      <c r="J22">
        <f>IMAGE("https://api.scryfall.com/cards/named?exact=Ethereal%20Investigator&amp;format=image&amp;version=normal")</f>
        <v/>
      </c>
      <c r="K22" t="inlineStr">
        <is>
          <t>$0.41</t>
        </is>
      </c>
      <c r="L22" t="inlineStr">
        <is>
          <t>Flying When this creature enters, investigate X times, where X is the number of opponents you have. (To investigate, create a Clue token. It's an artifact with "{2}, Sacrifice this token: Draw a card.") Whenever you draw your second card each turn, create a 1/1 white Spirit creature token with flying.</t>
        </is>
      </c>
    </row>
    <row r="23" ht="270" customHeight="1">
      <c r="A23" t="inlineStr">
        <is>
          <t>1</t>
        </is>
      </c>
      <c r="B23" t="inlineStr">
        <is>
          <t>Everflowing Chalice</t>
        </is>
      </c>
      <c r="C23" t="b">
        <v>1</v>
      </c>
      <c r="D23" t="b">
        <v>0</v>
      </c>
      <c r="E23" t="inlineStr"/>
      <c r="F23" t="inlineStr">
        <is>
          <t>Ramp</t>
        </is>
      </c>
      <c r="G23" t="inlineStr">
        <is>
          <t>Uncommon</t>
        </is>
      </c>
      <c r="H23" t="inlineStr">
        <is>
          <t>EOC</t>
        </is>
      </c>
      <c r="I23" t="inlineStr">
        <is>
          <t>0</t>
        </is>
      </c>
      <c r="J23">
        <f>IMAGE("https://api.scryfall.com/cards/named?exact=Everflowing%20Chalice&amp;format=image&amp;version=normal")</f>
        <v/>
      </c>
      <c r="K23" t="inlineStr">
        <is>
          <t>$0.36</t>
        </is>
      </c>
      <c r="L23" t="inlineStr">
        <is>
          <t>Multikicker {2} (You may pay an additional {2} any number of times as you cast this spell.) This artifact enters with a charge counter on it for each time it was kicked. {T}: Add {C} for each charge counter on this artifact.</t>
        </is>
      </c>
    </row>
    <row r="24" ht="270" customHeight="1">
      <c r="A24" t="inlineStr">
        <is>
          <t>1</t>
        </is>
      </c>
      <c r="B24" t="inlineStr">
        <is>
          <t>Favorable Winds</t>
        </is>
      </c>
      <c r="C24" t="b">
        <v>0</v>
      </c>
      <c r="D24" t="b">
        <v>0</v>
      </c>
      <c r="E24" t="inlineStr"/>
      <c r="F24" t="inlineStr">
        <is>
          <t>On Theme</t>
        </is>
      </c>
      <c r="G24" t="inlineStr">
        <is>
          <t>Uncommon</t>
        </is>
      </c>
      <c r="H24" t="inlineStr">
        <is>
          <t>SCD</t>
        </is>
      </c>
      <c r="I24" t="inlineStr">
        <is>
          <t>2</t>
        </is>
      </c>
      <c r="J24">
        <f>IMAGE("https://api.scryfall.com/cards/named?exact=Favorable%20Winds&amp;format=image&amp;version=normal")</f>
        <v/>
      </c>
      <c r="K24" t="inlineStr">
        <is>
          <t>$0.27</t>
        </is>
      </c>
      <c r="L24" t="inlineStr">
        <is>
          <t>Creatures you control with flying get +1/+1.</t>
        </is>
      </c>
    </row>
    <row r="25" ht="270" customHeight="1">
      <c r="A25" t="inlineStr">
        <is>
          <t>1</t>
        </is>
      </c>
      <c r="B25" t="inlineStr">
        <is>
          <t>Felidar Retreat</t>
        </is>
      </c>
      <c r="C25" t="b">
        <v>0</v>
      </c>
      <c r="D25" t="b">
        <v>0</v>
      </c>
      <c r="E25" t="inlineStr"/>
      <c r="F25" t="inlineStr">
        <is>
          <t>On Theme</t>
        </is>
      </c>
      <c r="G25" t="inlineStr">
        <is>
          <t>Rare</t>
        </is>
      </c>
      <c r="H25" t="inlineStr">
        <is>
          <t>SLD</t>
        </is>
      </c>
      <c r="I25" t="inlineStr">
        <is>
          <t>4</t>
        </is>
      </c>
      <c r="J25">
        <f>IMAGE("https://api.scryfall.com/cards/named?exact=Felidar%20Retreat&amp;format=image&amp;version=normal")</f>
        <v/>
      </c>
      <c r="K25" t="inlineStr">
        <is>
          <t>$4.02</t>
        </is>
      </c>
      <c r="L25" t="inlineStr">
        <is>
          <t>Landfall — Whenever a land you control enters, choose one — • Create a 2/2 white Cat Beast creature token. • Put a +1/+1 counter on each creature you control. Those creatures gain vigilance until end of turn.</t>
        </is>
      </c>
    </row>
    <row r="26" ht="270" customHeight="1">
      <c r="A26" t="inlineStr">
        <is>
          <t>1</t>
        </is>
      </c>
      <c r="B26" t="inlineStr">
        <is>
          <t>Fell the Mighty</t>
        </is>
      </c>
      <c r="C26" t="b">
        <v>1</v>
      </c>
      <c r="D26" t="b">
        <v>0</v>
      </c>
      <c r="E26" t="inlineStr"/>
      <c r="F26" t="inlineStr">
        <is>
          <t>Wrath</t>
        </is>
      </c>
      <c r="G26" t="inlineStr">
        <is>
          <t>Rare</t>
        </is>
      </c>
      <c r="H26" t="inlineStr">
        <is>
          <t>SLD</t>
        </is>
      </c>
      <c r="I26" t="inlineStr">
        <is>
          <t>5</t>
        </is>
      </c>
      <c r="J26">
        <f>IMAGE("https://api.scryfall.com/cards/named?exact=Fell%20the%20Mighty&amp;format=image&amp;version=normal")</f>
        <v/>
      </c>
      <c r="K26" t="inlineStr">
        <is>
          <t>$1.91</t>
        </is>
      </c>
      <c r="L26" t="inlineStr">
        <is>
          <t>Destroy all creatures with power greater than target creature's power.</t>
        </is>
      </c>
    </row>
    <row r="27" ht="270" customHeight="1">
      <c r="A27" t="inlineStr">
        <is>
          <t>1</t>
        </is>
      </c>
      <c r="B27" t="inlineStr">
        <is>
          <t>Fire Nation Warship</t>
        </is>
      </c>
      <c r="C27" t="b">
        <v>1</v>
      </c>
      <c r="D27" t="b">
        <v>0</v>
      </c>
      <c r="E27" t="inlineStr"/>
      <c r="F27" t="inlineStr">
        <is>
          <t>On Theme</t>
        </is>
      </c>
      <c r="G27" t="inlineStr">
        <is>
          <t>Uncommon</t>
        </is>
      </c>
      <c r="H27" t="inlineStr">
        <is>
          <t>TLA</t>
        </is>
      </c>
      <c r="I27" t="inlineStr">
        <is>
          <t>3</t>
        </is>
      </c>
      <c r="J27">
        <f>IMAGE("https://api.scryfall.com/cards/named?exact=Fire%20Nation%20Warship&amp;format=image&amp;version=normal")</f>
        <v/>
      </c>
      <c r="K27" t="inlineStr">
        <is>
          <t>$0.14</t>
        </is>
      </c>
      <c r="L27" t="inlineStr">
        <is>
          <t>Reach When this Vehicle dies, create a Clue token. (It's an artifact with "{2}, Sacrifice this token: Draw a card.") Crew 2 (Tap any number of creatures you control with total power 2 or more: This Vehicle becomes an artifact creature until end of turn.)</t>
        </is>
      </c>
    </row>
    <row r="28" ht="270" customHeight="1">
      <c r="A28" t="inlineStr">
        <is>
          <t>1</t>
        </is>
      </c>
      <c r="B28" t="inlineStr">
        <is>
          <t>Glacial Fortress</t>
        </is>
      </c>
      <c r="C28" t="b">
        <v>1</v>
      </c>
      <c r="D28" t="b">
        <v>0</v>
      </c>
      <c r="E28" t="inlineStr"/>
      <c r="F28" t="inlineStr">
        <is>
          <t>Lands</t>
        </is>
      </c>
      <c r="G28" t="inlineStr">
        <is>
          <t>Rare</t>
        </is>
      </c>
      <c r="H28" t="inlineStr">
        <is>
          <t>EOC</t>
        </is>
      </c>
      <c r="I28" t="inlineStr">
        <is>
          <t>0</t>
        </is>
      </c>
      <c r="J28">
        <f>IMAGE("https://api.scryfall.com/cards/named?exact=Glacial%20Fortress&amp;format=image&amp;version=normal")</f>
        <v/>
      </c>
      <c r="K28" t="inlineStr">
        <is>
          <t>$0.34</t>
        </is>
      </c>
      <c r="L28" t="inlineStr">
        <is>
          <t>This land enters tapped unless you control a Plains or an Island. {T}: Add {W} or {U}.</t>
        </is>
      </c>
    </row>
    <row r="29" ht="270" customHeight="1">
      <c r="A29" t="inlineStr">
        <is>
          <t>1</t>
        </is>
      </c>
      <c r="B29" t="inlineStr">
        <is>
          <t>Hedron Archive</t>
        </is>
      </c>
      <c r="C29" t="b">
        <v>1</v>
      </c>
      <c r="D29" t="b">
        <v>0</v>
      </c>
      <c r="E29" t="inlineStr"/>
      <c r="F29" t="inlineStr">
        <is>
          <t>Card Advantage</t>
        </is>
      </c>
      <c r="G29" t="inlineStr">
        <is>
          <t>Uncommon</t>
        </is>
      </c>
      <c r="H29" t="inlineStr">
        <is>
          <t>FDN</t>
        </is>
      </c>
      <c r="I29" t="inlineStr">
        <is>
          <t>4</t>
        </is>
      </c>
      <c r="J29">
        <f>IMAGE("https://api.scryfall.com/cards/named?exact=Hedron%20Archive&amp;format=image&amp;version=normal")</f>
        <v/>
      </c>
      <c r="K29" t="inlineStr"/>
      <c r="L29" t="inlineStr">
        <is>
          <t>{T}: Add {C}{C}. {2}, {T}, Sacrifice this artifact: Draw two cards.</t>
        </is>
      </c>
    </row>
    <row r="30" ht="270" customHeight="1">
      <c r="A30" t="inlineStr">
        <is>
          <t>1</t>
        </is>
      </c>
      <c r="B30" t="inlineStr">
        <is>
          <t>Idol of Oblivion</t>
        </is>
      </c>
      <c r="C30" t="b">
        <v>0</v>
      </c>
      <c r="D30" t="b">
        <v>0</v>
      </c>
      <c r="E30" t="inlineStr"/>
      <c r="F30" t="inlineStr">
        <is>
          <t>Card Advantage</t>
        </is>
      </c>
      <c r="G30" t="inlineStr">
        <is>
          <t>Rare</t>
        </is>
      </c>
      <c r="H30" t="inlineStr">
        <is>
          <t>TDC</t>
        </is>
      </c>
      <c r="I30" t="inlineStr">
        <is>
          <t>2</t>
        </is>
      </c>
      <c r="J30">
        <f>IMAGE("https://api.scryfall.com/cards/named?exact=Idol%20of%20Oblivion&amp;format=image&amp;version=normal")</f>
        <v/>
      </c>
      <c r="K30" t="inlineStr">
        <is>
          <t>$0.92</t>
        </is>
      </c>
      <c r="L30" t="inlineStr">
        <is>
          <t>{T}: Draw a card. Activate only if you created a token this turn. {8}, {T}, Sacrifice this artifact: Create a 10/10 colorless Eldrazi creature token.</t>
        </is>
      </c>
    </row>
    <row r="31" ht="270" customHeight="1">
      <c r="A31" t="inlineStr">
        <is>
          <t>1</t>
        </is>
      </c>
      <c r="B31" t="inlineStr">
        <is>
          <t>Idyllic Beachfront</t>
        </is>
      </c>
      <c r="C31" t="b">
        <v>1</v>
      </c>
      <c r="D31" t="b">
        <v>0</v>
      </c>
      <c r="E31" t="inlineStr"/>
      <c r="F31" t="inlineStr">
        <is>
          <t>Lands</t>
        </is>
      </c>
      <c r="G31" t="inlineStr">
        <is>
          <t>Common</t>
        </is>
      </c>
      <c r="H31" t="inlineStr">
        <is>
          <t>FIC</t>
        </is>
      </c>
      <c r="I31" t="inlineStr">
        <is>
          <t>0</t>
        </is>
      </c>
      <c r="J31">
        <f>IMAGE("https://api.scryfall.com/cards/named?exact=Idyllic%20Beachfront&amp;format=image&amp;version=normal")</f>
        <v/>
      </c>
      <c r="K31" t="inlineStr">
        <is>
          <t>$0.22</t>
        </is>
      </c>
      <c r="L31" t="inlineStr">
        <is>
          <t>({T}: Add {W} or {U}.) This land enters tapped.</t>
        </is>
      </c>
    </row>
    <row r="32" ht="270" customHeight="1">
      <c r="A32" t="inlineStr">
        <is>
          <t>1</t>
        </is>
      </c>
      <c r="B32" t="inlineStr">
        <is>
          <t>Inspired Insurgent</t>
        </is>
      </c>
      <c r="C32" t="b">
        <v>1</v>
      </c>
      <c r="D32" t="b">
        <v>0</v>
      </c>
      <c r="E32" t="inlineStr"/>
      <c r="F32" t="inlineStr">
        <is>
          <t>Interaction</t>
        </is>
      </c>
      <c r="G32" t="inlineStr">
        <is>
          <t>Common</t>
        </is>
      </c>
      <c r="H32" t="inlineStr">
        <is>
          <t>TLE</t>
        </is>
      </c>
      <c r="I32" t="inlineStr">
        <is>
          <t>2</t>
        </is>
      </c>
      <c r="J32">
        <f>IMAGE("https://api.scryfall.com/cards/named?exact=Inspired%20Insurgent&amp;format=image&amp;version=normal")</f>
        <v/>
      </c>
      <c r="K32" t="inlineStr">
        <is>
          <t>$0.11</t>
        </is>
      </c>
      <c r="L32" t="inlineStr">
        <is>
          <t>{1}, Sacrifice this creature: Destroy target artifact or enchantment.</t>
        </is>
      </c>
    </row>
    <row r="33" ht="270" customHeight="1">
      <c r="A33" t="inlineStr">
        <is>
          <t>1</t>
        </is>
      </c>
      <c r="B33" t="inlineStr">
        <is>
          <t>Intangible Virtue</t>
        </is>
      </c>
      <c r="C33" t="b">
        <v>0</v>
      </c>
      <c r="D33" t="b">
        <v>0</v>
      </c>
      <c r="E33" t="inlineStr"/>
      <c r="F33" t="inlineStr">
        <is>
          <t>On Theme</t>
        </is>
      </c>
      <c r="G33" t="inlineStr">
        <is>
          <t>Uncommon</t>
        </is>
      </c>
      <c r="H33" t="inlineStr">
        <is>
          <t>INR</t>
        </is>
      </c>
      <c r="I33" t="inlineStr">
        <is>
          <t>2</t>
        </is>
      </c>
      <c r="J33">
        <f>IMAGE("https://api.scryfall.com/cards/named?exact=Intangible%20Virtue&amp;format=image&amp;version=normal")</f>
        <v/>
      </c>
      <c r="K33" t="inlineStr">
        <is>
          <t>$0.42</t>
        </is>
      </c>
      <c r="L33" t="inlineStr">
        <is>
          <t>Creature tokens you control get +1/+1 and have vigilance.</t>
        </is>
      </c>
    </row>
    <row r="34" ht="270" customHeight="1">
      <c r="A34" t="inlineStr">
        <is>
          <t>1</t>
        </is>
      </c>
      <c r="B34" t="inlineStr">
        <is>
          <t>Irrigated Farmland</t>
        </is>
      </c>
      <c r="C34" t="b">
        <v>1</v>
      </c>
      <c r="D34" t="b">
        <v>0</v>
      </c>
      <c r="E34" t="inlineStr"/>
      <c r="F34" t="inlineStr">
        <is>
          <t>Lands</t>
        </is>
      </c>
      <c r="G34" t="inlineStr">
        <is>
          <t>Rare</t>
        </is>
      </c>
      <c r="H34" t="inlineStr">
        <is>
          <t>SLD</t>
        </is>
      </c>
      <c r="I34" t="inlineStr">
        <is>
          <t>0</t>
        </is>
      </c>
      <c r="J34">
        <f>IMAGE("https://api.scryfall.com/cards/named?exact=Irrigated%20Farmland&amp;format=image&amp;version=normal")</f>
        <v/>
      </c>
      <c r="K34" t="inlineStr">
        <is>
          <t>$1.97</t>
        </is>
      </c>
      <c r="L34" t="inlineStr">
        <is>
          <t>({T}: Add {W} or {U}.) This land enters tapped. Cycling {2} ({2}, Discard this card: Draw a card.)</t>
        </is>
      </c>
    </row>
    <row r="35" ht="270" customHeight="1">
      <c r="A35" t="inlineStr">
        <is>
          <t>14</t>
        </is>
      </c>
      <c r="B35" t="inlineStr">
        <is>
          <t>Island</t>
        </is>
      </c>
      <c r="C35" t="b">
        <v>1</v>
      </c>
      <c r="D35" t="b">
        <v>0</v>
      </c>
      <c r="E35" t="inlineStr"/>
      <c r="F35" t="inlineStr">
        <is>
          <t>Lands</t>
        </is>
      </c>
      <c r="G35" t="inlineStr">
        <is>
          <t>Common</t>
        </is>
      </c>
      <c r="H35" t="inlineStr">
        <is>
          <t>HOB</t>
        </is>
      </c>
      <c r="I35" t="inlineStr">
        <is>
          <t>0</t>
        </is>
      </c>
      <c r="J35">
        <f>IMAGE("https://api.scryfall.com/cards/named?exact=Island&amp;format=image&amp;version=normal")</f>
        <v/>
      </c>
      <c r="K35" t="inlineStr"/>
      <c r="L35" t="inlineStr">
        <is>
          <t>({T}: Add {U}.)</t>
        </is>
      </c>
    </row>
    <row r="36" ht="270" customHeight="1">
      <c r="A36" t="inlineStr">
        <is>
          <t>1</t>
        </is>
      </c>
      <c r="B36" t="inlineStr">
        <is>
          <t>Journey to Nowhere</t>
        </is>
      </c>
      <c r="C36" t="b">
        <v>1</v>
      </c>
      <c r="D36" t="b">
        <v>0</v>
      </c>
      <c r="E36" t="inlineStr"/>
      <c r="F36" t="inlineStr">
        <is>
          <t>Interaction</t>
        </is>
      </c>
      <c r="G36" t="inlineStr">
        <is>
          <t>Common</t>
        </is>
      </c>
      <c r="H36" t="inlineStr">
        <is>
          <t>PLST</t>
        </is>
      </c>
      <c r="I36" t="inlineStr">
        <is>
          <t>2</t>
        </is>
      </c>
      <c r="J36">
        <f>IMAGE("https://api.scryfall.com/cards/named?exact=Journey%20to%20Nowhere&amp;format=image&amp;version=normal")</f>
        <v/>
      </c>
      <c r="K36" t="inlineStr">
        <is>
          <t>$0.19</t>
        </is>
      </c>
      <c r="L36" t="inlineStr">
        <is>
          <t>When this enchantment enters, exile target creature. When this enchantment leaves the battlefield, return the exiled card to the battlefield under its owner's control.</t>
        </is>
      </c>
    </row>
    <row r="37" ht="270" customHeight="1">
      <c r="A37" t="inlineStr">
        <is>
          <t>1</t>
        </is>
      </c>
      <c r="B37" t="inlineStr">
        <is>
          <t>Katara, Water Tribe's Hope</t>
        </is>
      </c>
      <c r="C37" t="b">
        <v>1</v>
      </c>
      <c r="D37" t="b">
        <v>0</v>
      </c>
      <c r="E37" t="inlineStr"/>
      <c r="F37" t="inlineStr">
        <is>
          <t>On Theme</t>
        </is>
      </c>
      <c r="G37" t="inlineStr">
        <is>
          <t>Rare</t>
        </is>
      </c>
      <c r="H37" t="inlineStr">
        <is>
          <t>PTLA</t>
        </is>
      </c>
      <c r="I37" t="inlineStr">
        <is>
          <t>5</t>
        </is>
      </c>
      <c r="J37">
        <f>IMAGE("https://api.scryfall.com/cards/named?exact=Katara%2C%20Water%20Tribe%27s%20Hope&amp;format=image&amp;version=normal")</f>
        <v/>
      </c>
      <c r="K37" t="inlineStr"/>
      <c r="L37" t="inlineStr">
        <is>
          <t>Vigilance When Katara enters, create a 1/1 white Ally creature token. Waterbend {X}: Creatures you control have base power and toughness X/X until end of turn. X can't be 0. Activate only during your turn. (While paying a waterbend cost, you can tap your artifacts and creatures to help. Each one pays for {1}.)</t>
        </is>
      </c>
    </row>
    <row r="38" ht="270" customHeight="1">
      <c r="A38" t="inlineStr">
        <is>
          <t>1</t>
        </is>
      </c>
      <c r="B38" t="inlineStr">
        <is>
          <t>Keeper of the Accord</t>
        </is>
      </c>
      <c r="C38" t="b">
        <v>1</v>
      </c>
      <c r="D38" t="b">
        <v>0</v>
      </c>
      <c r="E38" t="inlineStr"/>
      <c r="F38" t="inlineStr">
        <is>
          <t>On Theme</t>
        </is>
      </c>
      <c r="G38" t="inlineStr">
        <is>
          <t>Rare</t>
        </is>
      </c>
      <c r="H38" t="inlineStr">
        <is>
          <t>PIP</t>
        </is>
      </c>
      <c r="I38" t="inlineStr">
        <is>
          <t>4</t>
        </is>
      </c>
      <c r="J38">
        <f>IMAGE("https://api.scryfall.com/cards/named?exact=Keeper%20of%20the%20Accord&amp;format=image&amp;version=normal")</f>
        <v/>
      </c>
      <c r="K38" t="inlineStr">
        <is>
          <t>$0.44</t>
        </is>
      </c>
      <c r="L38" t="inlineStr">
        <is>
          <t>At the beginning of each opponent's end step, if that player controls more creatures than you, create a 1/1 white Soldier creature token. At the beginning of each opponent's end step, if that player controls more lands than you, you may search your library for a basic Plains card, put it onto the battlefield tapped, then shuffle.</t>
        </is>
      </c>
    </row>
    <row r="39" ht="270" customHeight="1">
      <c r="A39" t="inlineStr">
        <is>
          <t>1</t>
        </is>
      </c>
      <c r="B39" t="inlineStr">
        <is>
          <t>Loyal Unicorn</t>
        </is>
      </c>
      <c r="C39" t="b">
        <v>1</v>
      </c>
      <c r="D39" t="b">
        <v>0</v>
      </c>
      <c r="E39" t="inlineStr"/>
      <c r="F39" t="inlineStr">
        <is>
          <t>On Theme</t>
        </is>
      </c>
      <c r="G39" t="inlineStr">
        <is>
          <t>Uncommon</t>
        </is>
      </c>
      <c r="H39" t="inlineStr">
        <is>
          <t>CMM</t>
        </is>
      </c>
      <c r="I39" t="inlineStr">
        <is>
          <t>4</t>
        </is>
      </c>
      <c r="J39">
        <f>IMAGE("https://api.scryfall.com/cards/named?exact=Loyal%20Unicorn&amp;format=image&amp;version=normal")</f>
        <v/>
      </c>
      <c r="K39" t="inlineStr">
        <is>
          <t>$0.21</t>
        </is>
      </c>
      <c r="L39" t="inlineStr">
        <is>
          <t>Vigilance Lieutenant — At the beginning of combat on your turn, if you control your commander, prevent all combat damage that would be dealt to creatures you control this turn. Other creatures you control gain vigilance until end of turn.</t>
        </is>
      </c>
    </row>
    <row r="40" ht="270" customHeight="1">
      <c r="A40" t="inlineStr">
        <is>
          <t>1</t>
        </is>
      </c>
      <c r="B40" t="inlineStr">
        <is>
          <t>Luminarch Ascension</t>
        </is>
      </c>
      <c r="C40" t="b">
        <v>0</v>
      </c>
      <c r="D40" t="b">
        <v>0</v>
      </c>
      <c r="E40" t="inlineStr"/>
      <c r="F40" t="inlineStr">
        <is>
          <t>On Theme</t>
        </is>
      </c>
      <c r="G40" t="inlineStr">
        <is>
          <t>Rare</t>
        </is>
      </c>
      <c r="H40" t="inlineStr">
        <is>
          <t>A25</t>
        </is>
      </c>
      <c r="I40" t="inlineStr">
        <is>
          <t>2</t>
        </is>
      </c>
      <c r="J40">
        <f>IMAGE("https://api.scryfall.com/cards/named?exact=Luminarch%20Ascension&amp;format=image&amp;version=normal")</f>
        <v/>
      </c>
      <c r="K40" t="inlineStr">
        <is>
          <t>$14.15</t>
        </is>
      </c>
      <c r="L40" t="inlineStr">
        <is>
          <t>At the beginning of each opponent's end step, if you didn't lose life this turn, you may put a quest counter on this enchantment. (Damage causes loss of life.) {1}{W}: Create a 4/4 white Angel creature token with flying. Activate only if this enchantment has four or more quest counters on it.</t>
        </is>
      </c>
    </row>
    <row r="41" ht="270" customHeight="1">
      <c r="A41" t="inlineStr">
        <is>
          <t>1</t>
        </is>
      </c>
      <c r="B41" t="inlineStr">
        <is>
          <t>Mind Stone</t>
        </is>
      </c>
      <c r="C41" t="b">
        <v>1</v>
      </c>
      <c r="D41" t="b">
        <v>0</v>
      </c>
      <c r="E41" t="inlineStr"/>
      <c r="F41" t="inlineStr">
        <is>
          <t>Card Advantage</t>
        </is>
      </c>
      <c r="G41" t="inlineStr">
        <is>
          <t>Uncommon</t>
        </is>
      </c>
      <c r="H41" t="inlineStr">
        <is>
          <t>SOC</t>
        </is>
      </c>
      <c r="I41" t="inlineStr">
        <is>
          <t>2</t>
        </is>
      </c>
      <c r="J41">
        <f>IMAGE("https://api.scryfall.com/cards/named?exact=Mind%20Stone&amp;format=image&amp;version=normal")</f>
        <v/>
      </c>
      <c r="K41" t="inlineStr">
        <is>
          <t>$0.34</t>
        </is>
      </c>
      <c r="L41" t="inlineStr">
        <is>
          <t>{T}: Add {C}. {1}, {T}, Sacrifice this artifact: Draw a card.</t>
        </is>
      </c>
    </row>
    <row r="42" ht="270" customHeight="1">
      <c r="A42" t="inlineStr">
        <is>
          <t>1</t>
        </is>
      </c>
      <c r="B42" t="inlineStr">
        <is>
          <t>Negate</t>
        </is>
      </c>
      <c r="C42" t="b">
        <v>1</v>
      </c>
      <c r="D42" t="b">
        <v>0</v>
      </c>
      <c r="E42" t="inlineStr"/>
      <c r="F42" t="inlineStr">
        <is>
          <t>Interaction</t>
        </is>
      </c>
      <c r="G42" t="inlineStr">
        <is>
          <t>Common</t>
        </is>
      </c>
      <c r="H42" t="inlineStr">
        <is>
          <t>TMT</t>
        </is>
      </c>
      <c r="I42" t="inlineStr">
        <is>
          <t>2</t>
        </is>
      </c>
      <c r="J42">
        <f>IMAGE("https://api.scryfall.com/cards/named?exact=Negate&amp;format=image&amp;version=normal")</f>
        <v/>
      </c>
      <c r="K42" t="inlineStr">
        <is>
          <t>$0.14</t>
        </is>
      </c>
      <c r="L42" t="inlineStr">
        <is>
          <t>Counter target noncreature spell.</t>
        </is>
      </c>
    </row>
    <row r="43" ht="270" customHeight="1">
      <c r="A43" t="inlineStr">
        <is>
          <t>1</t>
        </is>
      </c>
      <c r="B43" t="inlineStr">
        <is>
          <t>North Pole Gates</t>
        </is>
      </c>
      <c r="C43" t="b">
        <v>1</v>
      </c>
      <c r="D43" t="b">
        <v>0</v>
      </c>
      <c r="E43" t="inlineStr"/>
      <c r="F43" t="inlineStr">
        <is>
          <t>Lands</t>
        </is>
      </c>
      <c r="G43" t="inlineStr">
        <is>
          <t>Common</t>
        </is>
      </c>
      <c r="H43" t="inlineStr">
        <is>
          <t>TLA</t>
        </is>
      </c>
      <c r="I43" t="inlineStr">
        <is>
          <t>0</t>
        </is>
      </c>
      <c r="J43">
        <f>IMAGE("https://api.scryfall.com/cards/named?exact=North%20Pole%20Gates&amp;format=image&amp;version=normal")</f>
        <v/>
      </c>
      <c r="K43" t="inlineStr">
        <is>
          <t>$0.25</t>
        </is>
      </c>
      <c r="L43" t="inlineStr">
        <is>
          <t>This land enters tapped. {T}: Add {W} or {U}. {4}, {T}, Sacrifice this land: Draw a card.</t>
        </is>
      </c>
    </row>
    <row r="44" ht="270" customHeight="1">
      <c r="A44" t="inlineStr">
        <is>
          <t>1</t>
        </is>
      </c>
      <c r="B44" t="inlineStr">
        <is>
          <t>Odric, Lunarch Marshal</t>
        </is>
      </c>
      <c r="C44" t="b">
        <v>1</v>
      </c>
      <c r="D44" t="b">
        <v>0</v>
      </c>
      <c r="E44" t="inlineStr"/>
      <c r="F44" t="inlineStr">
        <is>
          <t>On Theme</t>
        </is>
      </c>
      <c r="G44" t="inlineStr">
        <is>
          <t>Rare</t>
        </is>
      </c>
      <c r="H44" t="inlineStr">
        <is>
          <t>INR</t>
        </is>
      </c>
      <c r="I44" t="inlineStr">
        <is>
          <t>4</t>
        </is>
      </c>
      <c r="J44">
        <f>IMAGE("https://api.scryfall.com/cards/named?exact=Odric%2C%20Lunarch%20Marshal&amp;format=image&amp;version=normal")</f>
        <v/>
      </c>
      <c r="K44" t="inlineStr">
        <is>
          <t>$1.58</t>
        </is>
      </c>
      <c r="L44" t="inlineStr">
        <is>
          <t>At the beginning of each combat, creatures you control gain first strike until end of turn if a creature you control has first strike. The same is true for flying, deathtouch, double strike, haste, hexproof, indestructible, lifelink, menace, reach, skulk, trample, and vigilance.</t>
        </is>
      </c>
    </row>
    <row r="45" ht="270" customHeight="1">
      <c r="A45" t="inlineStr">
        <is>
          <t>1</t>
        </is>
      </c>
      <c r="B45" t="inlineStr">
        <is>
          <t>Ornithopter of Paradise</t>
        </is>
      </c>
      <c r="C45" t="b">
        <v>1</v>
      </c>
      <c r="D45" t="b">
        <v>0</v>
      </c>
      <c r="E45" t="inlineStr"/>
      <c r="F45" t="inlineStr">
        <is>
          <t>Ramp</t>
        </is>
      </c>
      <c r="G45" t="inlineStr">
        <is>
          <t>Common</t>
        </is>
      </c>
      <c r="H45" t="inlineStr">
        <is>
          <t>DRC</t>
        </is>
      </c>
      <c r="I45" t="inlineStr">
        <is>
          <t>2</t>
        </is>
      </c>
      <c r="J45">
        <f>IMAGE("https://api.scryfall.com/cards/named?exact=Ornithopter%20of%20Paradise&amp;format=image&amp;version=normal")</f>
        <v/>
      </c>
      <c r="K45" t="inlineStr">
        <is>
          <t>$0.50</t>
        </is>
      </c>
      <c r="L45" t="inlineStr">
        <is>
          <t>Flying {T}: Add one mana of any color.</t>
        </is>
      </c>
    </row>
    <row r="46" ht="270" customHeight="1">
      <c r="A46" t="inlineStr">
        <is>
          <t>1</t>
        </is>
      </c>
      <c r="B46" t="inlineStr">
        <is>
          <t>Path to Exile</t>
        </is>
      </c>
      <c r="C46" t="b">
        <v>1</v>
      </c>
      <c r="D46" t="b">
        <v>0</v>
      </c>
      <c r="E46" t="inlineStr"/>
      <c r="F46" t="inlineStr">
        <is>
          <t>Interaction</t>
        </is>
      </c>
      <c r="G46" t="inlineStr">
        <is>
          <t>Uncommon</t>
        </is>
      </c>
      <c r="H46" t="inlineStr">
        <is>
          <t>SOC</t>
        </is>
      </c>
      <c r="I46" t="inlineStr">
        <is>
          <t>1</t>
        </is>
      </c>
      <c r="J46">
        <f>IMAGE("https://api.scryfall.com/cards/named?exact=Path%20to%20Exile&amp;format=image&amp;version=normal")</f>
        <v/>
      </c>
      <c r="K46" t="inlineStr">
        <is>
          <t>$1.05</t>
        </is>
      </c>
      <c r="L46" t="inlineStr">
        <is>
          <t>Exile target creature. Its controller may search their library for a basic land card, put that card onto the battlefield tapped, then shuffle.</t>
        </is>
      </c>
    </row>
    <row r="47" ht="270" customHeight="1">
      <c r="A47" t="inlineStr">
        <is>
          <t>13</t>
        </is>
      </c>
      <c r="B47" t="inlineStr">
        <is>
          <t>Plains</t>
        </is>
      </c>
      <c r="C47" t="b">
        <v>1</v>
      </c>
      <c r="D47" t="b">
        <v>0</v>
      </c>
      <c r="E47" t="inlineStr"/>
      <c r="F47" t="inlineStr">
        <is>
          <t>Lands</t>
        </is>
      </c>
      <c r="G47" t="inlineStr">
        <is>
          <t>Common</t>
        </is>
      </c>
      <c r="H47" t="inlineStr">
        <is>
          <t>HOB</t>
        </is>
      </c>
      <c r="I47" t="inlineStr">
        <is>
          <t>0</t>
        </is>
      </c>
      <c r="J47">
        <f>IMAGE("https://api.scryfall.com/cards/named?exact=Plains&amp;format=image&amp;version=normal")</f>
        <v/>
      </c>
      <c r="K47" t="inlineStr"/>
      <c r="L47" t="inlineStr">
        <is>
          <t>({T}: Add {W}.)</t>
        </is>
      </c>
    </row>
    <row r="48" ht="270" customHeight="1">
      <c r="A48" t="inlineStr">
        <is>
          <t>1</t>
        </is>
      </c>
      <c r="B48" t="inlineStr">
        <is>
          <t>Port Town</t>
        </is>
      </c>
      <c r="C48" t="b">
        <v>1</v>
      </c>
      <c r="D48" t="b">
        <v>0</v>
      </c>
      <c r="E48" t="inlineStr"/>
      <c r="F48" t="inlineStr">
        <is>
          <t>Lands</t>
        </is>
      </c>
      <c r="G48" t="inlineStr">
        <is>
          <t>Rare</t>
        </is>
      </c>
      <c r="H48" t="inlineStr">
        <is>
          <t>FIC</t>
        </is>
      </c>
      <c r="I48" t="inlineStr">
        <is>
          <t>0</t>
        </is>
      </c>
      <c r="J48">
        <f>IMAGE("https://api.scryfall.com/cards/named?exact=Port%20Town&amp;format=image&amp;version=normal")</f>
        <v/>
      </c>
      <c r="K48" t="inlineStr">
        <is>
          <t>$0.23</t>
        </is>
      </c>
      <c r="L48" t="inlineStr">
        <is>
          <t>As this land enters, you may reveal a Plains or Island card from your hand. If you don't, this land enters tapped. {T}: Add {W} or {U}.</t>
        </is>
      </c>
    </row>
    <row r="49" ht="270" customHeight="1">
      <c r="A49" t="inlineStr">
        <is>
          <t>1</t>
        </is>
      </c>
      <c r="B49" t="inlineStr">
        <is>
          <t>Prairie Stream</t>
        </is>
      </c>
      <c r="C49" t="b">
        <v>1</v>
      </c>
      <c r="D49" t="b">
        <v>0</v>
      </c>
      <c r="E49" t="inlineStr"/>
      <c r="F49" t="inlineStr">
        <is>
          <t>Lands</t>
        </is>
      </c>
      <c r="G49" t="inlineStr">
        <is>
          <t>Rare</t>
        </is>
      </c>
      <c r="H49" t="inlineStr">
        <is>
          <t>FIC</t>
        </is>
      </c>
      <c r="I49" t="inlineStr">
        <is>
          <t>0</t>
        </is>
      </c>
      <c r="J49">
        <f>IMAGE("https://api.scryfall.com/cards/named?exact=Prairie%20Stream&amp;format=image&amp;version=normal")</f>
        <v/>
      </c>
      <c r="K49" t="inlineStr">
        <is>
          <t>$0.33</t>
        </is>
      </c>
      <c r="L49" t="inlineStr">
        <is>
          <t>({T}: Add {W} or {U}.) This land enters tapped unless you control two or more basic lands.</t>
        </is>
      </c>
    </row>
    <row r="50" ht="270" customHeight="1">
      <c r="A50" t="inlineStr">
        <is>
          <t>1</t>
        </is>
      </c>
      <c r="B50" t="inlineStr">
        <is>
          <t>Precinct Captain</t>
        </is>
      </c>
      <c r="C50" t="b">
        <v>0</v>
      </c>
      <c r="D50" t="b">
        <v>0</v>
      </c>
      <c r="E50" t="inlineStr"/>
      <c r="F50" t="inlineStr">
        <is>
          <t>On Theme</t>
        </is>
      </c>
      <c r="G50" t="inlineStr">
        <is>
          <t>Rare</t>
        </is>
      </c>
      <c r="H50" t="inlineStr">
        <is>
          <t>E01</t>
        </is>
      </c>
      <c r="I50" t="inlineStr">
        <is>
          <t>2</t>
        </is>
      </c>
      <c r="J50">
        <f>IMAGE("https://api.scryfall.com/cards/named?exact=Precinct%20Captain&amp;format=image&amp;version=normal")</f>
        <v/>
      </c>
      <c r="K50" t="inlineStr">
        <is>
          <t>$0.29</t>
        </is>
      </c>
      <c r="L50" t="inlineStr">
        <is>
          <t>First strike Whenever this creature deals combat damage to a player, create a 1/1 white Soldier creature token.</t>
        </is>
      </c>
    </row>
    <row r="51" ht="270" customHeight="1">
      <c r="A51" t="inlineStr">
        <is>
          <t>1</t>
        </is>
      </c>
      <c r="B51" t="inlineStr">
        <is>
          <t>Prismatic Lens</t>
        </is>
      </c>
      <c r="C51" t="b">
        <v>1</v>
      </c>
      <c r="D51" t="b">
        <v>0</v>
      </c>
      <c r="E51" t="inlineStr"/>
      <c r="F51" t="inlineStr">
        <is>
          <t>Ramp</t>
        </is>
      </c>
      <c r="G51" t="inlineStr">
        <is>
          <t>Uncommon</t>
        </is>
      </c>
      <c r="H51" t="inlineStr">
        <is>
          <t>PLST</t>
        </is>
      </c>
      <c r="I51" t="inlineStr">
        <is>
          <t>2</t>
        </is>
      </c>
      <c r="J51">
        <f>IMAGE("https://api.scryfall.com/cards/named?exact=Prismatic%20Lens&amp;format=image&amp;version=normal")</f>
        <v/>
      </c>
      <c r="K51" t="inlineStr">
        <is>
          <t>$0.28</t>
        </is>
      </c>
      <c r="L51" t="inlineStr">
        <is>
          <t>{T}: Add {C}. {1}, {T}: Add one mana of any color.</t>
        </is>
      </c>
    </row>
    <row r="52" ht="270" customHeight="1">
      <c r="A52" t="inlineStr">
        <is>
          <t>1</t>
        </is>
      </c>
      <c r="B52" t="inlineStr">
        <is>
          <t>Reconnaissance Mission</t>
        </is>
      </c>
      <c r="C52" t="b">
        <v>0</v>
      </c>
      <c r="D52" t="b">
        <v>0</v>
      </c>
      <c r="E52" t="inlineStr"/>
      <c r="F52" t="inlineStr">
        <is>
          <t>Card Advantage</t>
        </is>
      </c>
      <c r="G52" t="inlineStr">
        <is>
          <t>Rare</t>
        </is>
      </c>
      <c r="H52" t="inlineStr">
        <is>
          <t>SLD</t>
        </is>
      </c>
      <c r="I52" t="inlineStr">
        <is>
          <t>4</t>
        </is>
      </c>
      <c r="J52">
        <f>IMAGE("https://api.scryfall.com/cards/named?exact=Reconnaissance%20Mission&amp;format=image&amp;version=normal")</f>
        <v/>
      </c>
      <c r="K52" t="inlineStr">
        <is>
          <t>$3.36</t>
        </is>
      </c>
      <c r="L52" t="inlineStr">
        <is>
          <t>Whenever a creature you control deals combat damage to a player, you may draw a card. Cycling {2} ({2}, Discard this card: Draw a card.)</t>
        </is>
      </c>
    </row>
    <row r="53" ht="270" customHeight="1">
      <c r="A53" t="inlineStr">
        <is>
          <t>1</t>
        </is>
      </c>
      <c r="B53" t="inlineStr">
        <is>
          <t>Refute</t>
        </is>
      </c>
      <c r="C53" t="b">
        <v>1</v>
      </c>
      <c r="D53" t="b">
        <v>0</v>
      </c>
      <c r="E53" t="inlineStr"/>
      <c r="F53" t="inlineStr">
        <is>
          <t>Interaction</t>
        </is>
      </c>
      <c r="G53" t="inlineStr">
        <is>
          <t>Common</t>
        </is>
      </c>
      <c r="H53" t="inlineStr">
        <is>
          <t>FDN</t>
        </is>
      </c>
      <c r="I53" t="inlineStr">
        <is>
          <t>3</t>
        </is>
      </c>
      <c r="J53">
        <f>IMAGE("https://api.scryfall.com/cards/named?exact=Refute&amp;format=image&amp;version=normal")</f>
        <v/>
      </c>
      <c r="K53" t="inlineStr">
        <is>
          <t>$0.24</t>
        </is>
      </c>
      <c r="L53" t="inlineStr">
        <is>
          <t>Counter target spell. Draw a card, then discard a card.</t>
        </is>
      </c>
    </row>
    <row r="54" ht="270" customHeight="1">
      <c r="A54" t="inlineStr">
        <is>
          <t>1</t>
        </is>
      </c>
      <c r="B54" t="inlineStr">
        <is>
          <t>Retrofitter Foundry</t>
        </is>
      </c>
      <c r="C54" t="b">
        <v>0</v>
      </c>
      <c r="D54" t="b">
        <v>0</v>
      </c>
      <c r="E54" t="inlineStr"/>
      <c r="F54" t="inlineStr">
        <is>
          <t>On Theme</t>
        </is>
      </c>
      <c r="G54" t="inlineStr">
        <is>
          <t>Rare</t>
        </is>
      </c>
      <c r="H54" t="inlineStr">
        <is>
          <t>SLC</t>
        </is>
      </c>
      <c r="I54" t="inlineStr">
        <is>
          <t>1</t>
        </is>
      </c>
      <c r="J54">
        <f>IMAGE("https://api.scryfall.com/cards/named?exact=Retrofitter%20Foundry&amp;format=image&amp;version=normal")</f>
        <v/>
      </c>
      <c r="K54" t="inlineStr">
        <is>
          <t>$1.01</t>
        </is>
      </c>
      <c r="L54" t="inlineStr">
        <is>
          <t>{3}: Untap this artifact. {2}, {T}: Create a 1/1 colorless Servo artifact creature token. {1}, {T}, Sacrifice a Servo: Create a 1/1 colorless Thopter artifact creature token with flying. {T}, Sacrifice a Thopter: Create a 4/4 colorless Construct artifact creature token.</t>
        </is>
      </c>
    </row>
    <row r="55" ht="270" customHeight="1">
      <c r="A55" t="inlineStr">
        <is>
          <t>1</t>
        </is>
      </c>
      <c r="B55" t="inlineStr">
        <is>
          <t>Skeleton Key</t>
        </is>
      </c>
      <c r="C55" t="b">
        <v>1</v>
      </c>
      <c r="D55" t="b">
        <v>0</v>
      </c>
      <c r="E55" t="inlineStr"/>
      <c r="F55" t="inlineStr">
        <is>
          <t>Card Advantage</t>
        </is>
      </c>
      <c r="G55" t="inlineStr">
        <is>
          <t>Uncommon</t>
        </is>
      </c>
      <c r="H55" t="inlineStr">
        <is>
          <t>SOI</t>
        </is>
      </c>
      <c r="I55" t="inlineStr">
        <is>
          <t>1</t>
        </is>
      </c>
      <c r="J55">
        <f>IMAGE("https://api.scryfall.com/cards/named?exact=Skeleton%20Key&amp;format=image&amp;version=normal")</f>
        <v/>
      </c>
      <c r="K55" t="inlineStr">
        <is>
          <t>$0.36</t>
        </is>
      </c>
      <c r="L55" t="inlineStr">
        <is>
          <t>Equipped creature has skulk. (It can't be blocked by creatures with greater power.) Whenever equipped creature deals combat damage to a player, you may draw a card. If you do, discard a card. Equip {2}</t>
        </is>
      </c>
    </row>
    <row r="56" ht="270" customHeight="1">
      <c r="A56" t="inlineStr">
        <is>
          <t>1</t>
        </is>
      </c>
      <c r="B56" t="inlineStr">
        <is>
          <t>Skycat Sovereign</t>
        </is>
      </c>
      <c r="C56" t="b">
        <v>0</v>
      </c>
      <c r="D56" t="b">
        <v>0</v>
      </c>
      <c r="E56" t="inlineStr"/>
      <c r="F56" t="inlineStr">
        <is>
          <t>On Theme</t>
        </is>
      </c>
      <c r="G56" t="inlineStr">
        <is>
          <t>Rare</t>
        </is>
      </c>
      <c r="H56" t="inlineStr">
        <is>
          <t>SCD</t>
        </is>
      </c>
      <c r="I56" t="inlineStr">
        <is>
          <t>2</t>
        </is>
      </c>
      <c r="J56">
        <f>IMAGE("https://api.scryfall.com/cards/named?exact=Skycat%20Sovereign&amp;format=image&amp;version=normal")</f>
        <v/>
      </c>
      <c r="K56" t="inlineStr">
        <is>
          <t>$0.24</t>
        </is>
      </c>
      <c r="L56" t="inlineStr">
        <is>
          <t>Flying This creature gets +1/+1 for each other creature you control with flying. {2}{W}{U}: Create a 1/1 white Cat Bird creature token with flying.</t>
        </is>
      </c>
    </row>
    <row r="57" ht="270" customHeight="1">
      <c r="A57" t="inlineStr">
        <is>
          <t>1</t>
        </is>
      </c>
      <c r="B57" t="inlineStr">
        <is>
          <t>Skycloud Expanse</t>
        </is>
      </c>
      <c r="C57" t="b">
        <v>1</v>
      </c>
      <c r="D57" t="b">
        <v>0</v>
      </c>
      <c r="E57" t="inlineStr"/>
      <c r="F57" t="inlineStr">
        <is>
          <t>Lands</t>
        </is>
      </c>
      <c r="G57" t="inlineStr">
        <is>
          <t>Rare</t>
        </is>
      </c>
      <c r="H57" t="inlineStr">
        <is>
          <t>EOC</t>
        </is>
      </c>
      <c r="I57" t="inlineStr">
        <is>
          <t>0</t>
        </is>
      </c>
      <c r="J57">
        <f>IMAGE("https://api.scryfall.com/cards/named?exact=Skycloud%20Expanse&amp;format=image&amp;version=normal")</f>
        <v/>
      </c>
      <c r="K57" t="inlineStr">
        <is>
          <t>$0.26</t>
        </is>
      </c>
      <c r="L57" t="inlineStr">
        <is>
          <t>{1}, {T}: Add {W}{U}.</t>
        </is>
      </c>
    </row>
    <row r="58" ht="270" customHeight="1">
      <c r="A58" t="inlineStr">
        <is>
          <t>1</t>
        </is>
      </c>
      <c r="B58" t="inlineStr">
        <is>
          <t>Sol Ring</t>
        </is>
      </c>
      <c r="C58" t="b">
        <v>1</v>
      </c>
      <c r="D58" t="b">
        <v>0</v>
      </c>
      <c r="E58" t="inlineStr"/>
      <c r="F58" t="inlineStr">
        <is>
          <t>Ramp</t>
        </is>
      </c>
      <c r="G58" t="inlineStr">
        <is>
          <t>Rare</t>
        </is>
      </c>
      <c r="H58" t="inlineStr">
        <is>
          <t>SLD</t>
        </is>
      </c>
      <c r="I58" t="inlineStr">
        <is>
          <t>1</t>
        </is>
      </c>
      <c r="J58">
        <f>IMAGE("https://api.scryfall.com/cards/named?exact=Sol%20Ring&amp;format=image&amp;version=normal")</f>
        <v/>
      </c>
      <c r="K58" t="inlineStr"/>
      <c r="L58" t="inlineStr">
        <is>
          <t>{T}: Add {C}{C}.</t>
        </is>
      </c>
    </row>
    <row r="59" ht="270" customHeight="1">
      <c r="A59" t="inlineStr">
        <is>
          <t>1</t>
        </is>
      </c>
      <c r="B59" t="inlineStr">
        <is>
          <t>Storm Herd</t>
        </is>
      </c>
      <c r="C59" t="b">
        <v>0</v>
      </c>
      <c r="D59" t="b">
        <v>0</v>
      </c>
      <c r="E59" t="inlineStr"/>
      <c r="F59" t="inlineStr">
        <is>
          <t>On Theme</t>
        </is>
      </c>
      <c r="G59" t="inlineStr">
        <is>
          <t>Rare</t>
        </is>
      </c>
      <c r="H59" t="inlineStr">
        <is>
          <t>PLST</t>
        </is>
      </c>
      <c r="I59" t="inlineStr">
        <is>
          <t>10</t>
        </is>
      </c>
      <c r="J59">
        <f>IMAGE("https://api.scryfall.com/cards/named?exact=Storm%20Herd&amp;format=image&amp;version=normal")</f>
        <v/>
      </c>
      <c r="K59" t="inlineStr">
        <is>
          <t>$2.73</t>
        </is>
      </c>
      <c r="L59" t="inlineStr">
        <is>
          <t>Create X 1/1 white Pegasus creature tokens with flying, where X is your life total.</t>
        </is>
      </c>
    </row>
    <row r="60" ht="270" customHeight="1">
      <c r="A60" t="inlineStr">
        <is>
          <t>1</t>
        </is>
      </c>
      <c r="B60" t="inlineStr">
        <is>
          <t>Stormbeacon Blade</t>
        </is>
      </c>
      <c r="C60" t="b">
        <v>1</v>
      </c>
      <c r="D60" t="b">
        <v>0</v>
      </c>
      <c r="E60" t="inlineStr"/>
      <c r="F60" t="inlineStr">
        <is>
          <t>Card Advantage</t>
        </is>
      </c>
      <c r="G60" t="inlineStr">
        <is>
          <t>Uncommon</t>
        </is>
      </c>
      <c r="H60" t="inlineStr">
        <is>
          <t>TDM</t>
        </is>
      </c>
      <c r="I60" t="inlineStr">
        <is>
          <t>2</t>
        </is>
      </c>
      <c r="J60">
        <f>IMAGE("https://api.scryfall.com/cards/named?exact=Stormbeacon%20Blade&amp;format=image&amp;version=normal")</f>
        <v/>
      </c>
      <c r="K60" t="inlineStr">
        <is>
          <t>$0.26</t>
        </is>
      </c>
      <c r="L60" t="inlineStr">
        <is>
          <t>Equipped creature gets +3/+0. Whenever equipped creature attacks, draw a card if you control three or more attacking creatures. Equip {2} ({2}: Attach to target creature you control. Equip only as a sorcery.)</t>
        </is>
      </c>
    </row>
    <row r="61" ht="270" customHeight="1">
      <c r="A61" t="inlineStr">
        <is>
          <t>1</t>
        </is>
      </c>
      <c r="B61" t="inlineStr">
        <is>
          <t>Stroke of Midnight</t>
        </is>
      </c>
      <c r="C61" t="b">
        <v>1</v>
      </c>
      <c r="D61" t="b">
        <v>0</v>
      </c>
      <c r="E61" t="inlineStr"/>
      <c r="F61" t="inlineStr">
        <is>
          <t>Interaction</t>
        </is>
      </c>
      <c r="G61" t="inlineStr">
        <is>
          <t>Uncommon</t>
        </is>
      </c>
      <c r="H61" t="inlineStr">
        <is>
          <t>FCA</t>
        </is>
      </c>
      <c r="I61" t="inlineStr">
        <is>
          <t>3</t>
        </is>
      </c>
      <c r="J61">
        <f>IMAGE("https://api.scryfall.com/cards/named?exact=Stroke%20of%20Midnight&amp;format=image&amp;version=normal")</f>
        <v/>
      </c>
      <c r="K61" t="inlineStr">
        <is>
          <t>$0.87</t>
        </is>
      </c>
      <c r="L61" t="inlineStr">
        <is>
          <t>Destroy target nonland permanent. Its controller creates a 1/1 white Human creature token.</t>
        </is>
      </c>
    </row>
    <row r="62" ht="270" customHeight="1">
      <c r="A62" t="inlineStr">
        <is>
          <t>1</t>
        </is>
      </c>
      <c r="B62" t="inlineStr">
        <is>
          <t>Swiftfoot Boots</t>
        </is>
      </c>
      <c r="C62" t="b">
        <v>1</v>
      </c>
      <c r="D62" t="b">
        <v>0</v>
      </c>
      <c r="E62" t="inlineStr"/>
      <c r="F62" t="inlineStr">
        <is>
          <t>Interaction</t>
        </is>
      </c>
      <c r="G62" t="inlineStr">
        <is>
          <t>Rare</t>
        </is>
      </c>
      <c r="H62" t="inlineStr">
        <is>
          <t>TLE</t>
        </is>
      </c>
      <c r="I62" t="inlineStr">
        <is>
          <t>2</t>
        </is>
      </c>
      <c r="J62">
        <f>IMAGE("https://api.scryfall.com/cards/named?exact=Swiftfoot%20Boots&amp;format=image&amp;version=normal")</f>
        <v/>
      </c>
      <c r="K62" t="inlineStr">
        <is>
          <t>$2.14</t>
        </is>
      </c>
      <c r="L62" t="inlineStr">
        <is>
          <t>Equipped creature has hexproof and haste. (It can't be the target of spells or abilities your opponents control. It can attack and {T} no matter when it came under your control.) Equip {1} ({1}: Attach to target creature you control. Equip only as a sorcery.)</t>
        </is>
      </c>
    </row>
    <row r="63" ht="270" customHeight="1">
      <c r="A63" t="inlineStr">
        <is>
          <t>1</t>
        </is>
      </c>
      <c r="B63" t="inlineStr">
        <is>
          <t>Talisman of Progress</t>
        </is>
      </c>
      <c r="C63" t="b">
        <v>1</v>
      </c>
      <c r="D63" t="b">
        <v>0</v>
      </c>
      <c r="E63" t="inlineStr"/>
      <c r="F63" t="inlineStr">
        <is>
          <t>Ramp</t>
        </is>
      </c>
      <c r="G63" t="inlineStr">
        <is>
          <t>Uncommon</t>
        </is>
      </c>
      <c r="H63" t="inlineStr">
        <is>
          <t>FIC</t>
        </is>
      </c>
      <c r="I63" t="inlineStr">
        <is>
          <t>2</t>
        </is>
      </c>
      <c r="J63">
        <f>IMAGE("https://api.scryfall.com/cards/named?exact=Talisman%20of%20Progress&amp;format=image&amp;version=normal")</f>
        <v/>
      </c>
      <c r="K63" t="inlineStr">
        <is>
          <t>$0.41</t>
        </is>
      </c>
      <c r="L63" t="inlineStr">
        <is>
          <t>{T}: Add {C}. {T}: Add {W} or {U}. This artifact deals 1 damage to you.</t>
        </is>
      </c>
    </row>
    <row r="64" ht="270" customHeight="1">
      <c r="A64" t="inlineStr">
        <is>
          <t>1</t>
        </is>
      </c>
      <c r="B64" t="inlineStr">
        <is>
          <t>Team Avatar</t>
        </is>
      </c>
      <c r="C64" t="b">
        <v>1</v>
      </c>
      <c r="D64" t="b">
        <v>0</v>
      </c>
      <c r="E64" t="inlineStr"/>
      <c r="F64" t="inlineStr">
        <is>
          <t>Interaction</t>
        </is>
      </c>
      <c r="G64" t="inlineStr">
        <is>
          <t>Uncommon</t>
        </is>
      </c>
      <c r="H64" t="inlineStr">
        <is>
          <t>TLA</t>
        </is>
      </c>
      <c r="I64" t="inlineStr">
        <is>
          <t>3</t>
        </is>
      </c>
      <c r="J64">
        <f>IMAGE("https://api.scryfall.com/cards/named?exact=Team%20Avatar&amp;format=image&amp;version=normal")</f>
        <v/>
      </c>
      <c r="K64" t="inlineStr">
        <is>
          <t>$0.19</t>
        </is>
      </c>
      <c r="L64" t="inlineStr">
        <is>
          <t>Whenever a creature you control attacks alone, it gets +X/+X until end of turn, where X is the number of creatures you control. {2}{W}, Discard this card: It deals damage equal to the number of creatures you control to target creature.</t>
        </is>
      </c>
    </row>
    <row r="65" ht="270" customHeight="1">
      <c r="A65" t="inlineStr">
        <is>
          <t>1</t>
        </is>
      </c>
      <c r="B65" t="inlineStr">
        <is>
          <t>Temple of Enlightenment</t>
        </is>
      </c>
      <c r="C65" t="b">
        <v>1</v>
      </c>
      <c r="D65" t="b">
        <v>0</v>
      </c>
      <c r="E65" t="inlineStr"/>
      <c r="F65" t="inlineStr">
        <is>
          <t>Lands</t>
        </is>
      </c>
      <c r="G65" t="inlineStr">
        <is>
          <t>Rare</t>
        </is>
      </c>
      <c r="H65" t="inlineStr">
        <is>
          <t>EOC</t>
        </is>
      </c>
      <c r="I65" t="inlineStr">
        <is>
          <t>0</t>
        </is>
      </c>
      <c r="J65">
        <f>IMAGE("https://api.scryfall.com/cards/named?exact=Temple%20of%20Enlightenment&amp;format=image&amp;version=normal")</f>
        <v/>
      </c>
      <c r="K65" t="inlineStr">
        <is>
          <t>$0.25</t>
        </is>
      </c>
      <c r="L65" t="inlineStr">
        <is>
          <t>This land enters tapped. When this land enters, scry 1. (Look at the top card of your library. You may put that card on the bottom.) {T}: Add {W} or {U}.</t>
        </is>
      </c>
    </row>
    <row r="66" ht="270" customHeight="1">
      <c r="A66" t="inlineStr">
        <is>
          <t>1</t>
        </is>
      </c>
      <c r="B66" t="inlineStr">
        <is>
          <t>Tetsuko Umezawa, Fugitive</t>
        </is>
      </c>
      <c r="C66" t="b">
        <v>1</v>
      </c>
      <c r="D66" t="b">
        <v>0</v>
      </c>
      <c r="E66" t="inlineStr"/>
      <c r="F66" t="inlineStr">
        <is>
          <t>On Theme</t>
        </is>
      </c>
      <c r="G66" t="inlineStr">
        <is>
          <t>Rare</t>
        </is>
      </c>
      <c r="H66" t="inlineStr">
        <is>
          <t>SLD</t>
        </is>
      </c>
      <c r="I66" t="inlineStr">
        <is>
          <t>2</t>
        </is>
      </c>
      <c r="J66">
        <f>IMAGE("https://api.scryfall.com/cards/named?exact=Tetsuko%20Umezawa%2C%20Fugitive&amp;format=image&amp;version=normal")</f>
        <v/>
      </c>
      <c r="K66" t="inlineStr">
        <is>
          <t>$3.84</t>
        </is>
      </c>
      <c r="L66" t="inlineStr">
        <is>
          <t>Creatures you control with power or toughness 1 or less can't be blocked.</t>
        </is>
      </c>
    </row>
    <row r="67" ht="270" customHeight="1">
      <c r="A67" t="inlineStr">
        <is>
          <t>1</t>
        </is>
      </c>
      <c r="B67" t="inlineStr">
        <is>
          <t>The Battle of Bywater</t>
        </is>
      </c>
      <c r="C67" t="b">
        <v>1</v>
      </c>
      <c r="D67" t="b">
        <v>0</v>
      </c>
      <c r="E67" t="inlineStr"/>
      <c r="F67" t="inlineStr">
        <is>
          <t>Wrath</t>
        </is>
      </c>
      <c r="G67" t="inlineStr">
        <is>
          <t>Rare</t>
        </is>
      </c>
      <c r="H67" t="inlineStr">
        <is>
          <t>LTR</t>
        </is>
      </c>
      <c r="I67" t="inlineStr">
        <is>
          <t>3</t>
        </is>
      </c>
      <c r="J67">
        <f>IMAGE("https://api.scryfall.com/cards/named?exact=The%20Battle%20of%20Bywater&amp;format=image&amp;version=normal")</f>
        <v/>
      </c>
      <c r="K67" t="inlineStr"/>
      <c r="L67" t="inlineStr">
        <is>
          <t>Destroy all creatures with power 3 or greater. Then create a Food token for each creature you control. (It's an artifact with "{2}, {T}, Sacrifice this token: You gain 3 life.")</t>
        </is>
      </c>
    </row>
    <row r="68" ht="270" customHeight="1">
      <c r="A68" t="inlineStr">
        <is>
          <t>1</t>
        </is>
      </c>
      <c r="B68" t="inlineStr">
        <is>
          <t>The Walls of Ba Sing Se</t>
        </is>
      </c>
      <c r="C68" t="b">
        <v>1</v>
      </c>
      <c r="D68" t="b">
        <v>0</v>
      </c>
      <c r="E68" t="inlineStr"/>
      <c r="F68" t="inlineStr">
        <is>
          <t>On Theme</t>
        </is>
      </c>
      <c r="G68" t="inlineStr">
        <is>
          <t>Mythic</t>
        </is>
      </c>
      <c r="H68" t="inlineStr">
        <is>
          <t>TLA</t>
        </is>
      </c>
      <c r="I68" t="inlineStr">
        <is>
          <t>8</t>
        </is>
      </c>
      <c r="J68">
        <f>IMAGE("https://api.scryfall.com/cards/named?exact=The%20Walls%20of%20Ba%20Sing%20Se&amp;format=image&amp;version=normal")</f>
        <v/>
      </c>
      <c r="K68" t="inlineStr">
        <is>
          <t>$35.35</t>
        </is>
      </c>
      <c r="L68" t="inlineStr">
        <is>
          <t>Defender Other permanents you control have indestructible.</t>
        </is>
      </c>
    </row>
    <row r="69" ht="270" customHeight="1">
      <c r="A69" t="inlineStr">
        <is>
          <t>1</t>
        </is>
      </c>
      <c r="B69" t="inlineStr">
        <is>
          <t>Thought Vessel</t>
        </is>
      </c>
      <c r="C69" t="b">
        <v>1</v>
      </c>
      <c r="D69" t="b">
        <v>0</v>
      </c>
      <c r="E69" t="inlineStr"/>
      <c r="F69" t="inlineStr">
        <is>
          <t>Card Advantage</t>
        </is>
      </c>
      <c r="G69" t="inlineStr">
        <is>
          <t>Common</t>
        </is>
      </c>
      <c r="H69" t="inlineStr">
        <is>
          <t>FIC</t>
        </is>
      </c>
      <c r="I69" t="inlineStr">
        <is>
          <t>2</t>
        </is>
      </c>
      <c r="J69">
        <f>IMAGE("https://api.scryfall.com/cards/named?exact=Thought%20Vessel&amp;format=image&amp;version=normal")</f>
        <v/>
      </c>
      <c r="K69" t="inlineStr">
        <is>
          <t>$2.55</t>
        </is>
      </c>
      <c r="L69" t="inlineStr">
        <is>
          <t>You have no maximum hand size. {T}: Add {C}.</t>
        </is>
      </c>
    </row>
    <row r="70" ht="270" customHeight="1">
      <c r="A70" t="inlineStr">
        <is>
          <t>1</t>
        </is>
      </c>
      <c r="B70" t="inlineStr">
        <is>
          <t>Threefold Thunderhulk</t>
        </is>
      </c>
      <c r="C70" t="b">
        <v>1</v>
      </c>
      <c r="D70" t="b">
        <v>0</v>
      </c>
      <c r="E70" t="inlineStr"/>
      <c r="F70" t="inlineStr">
        <is>
          <t>On Theme</t>
        </is>
      </c>
      <c r="G70" t="inlineStr">
        <is>
          <t>Rare</t>
        </is>
      </c>
      <c r="H70" t="inlineStr">
        <is>
          <t>EOC</t>
        </is>
      </c>
      <c r="I70" t="inlineStr">
        <is>
          <t>7</t>
        </is>
      </c>
      <c r="J70">
        <f>IMAGE("https://api.scryfall.com/cards/named?exact=Threefold%20Thunderhulk&amp;format=image&amp;version=normal")</f>
        <v/>
      </c>
      <c r="K70" t="inlineStr">
        <is>
          <t>$0.31</t>
        </is>
      </c>
      <c r="L70" t="inlineStr">
        <is>
          <t>This creature enters with three +1/+1 counters on it. Whenever this creature enters or attacks, create a number of 1/1 colorless Gnome artifact creature tokens equal to its power. {2}, Sacrifice another artifact: Put a +1/+1 counter on this creature.</t>
        </is>
      </c>
    </row>
    <row r="71" ht="270" customHeight="1">
      <c r="A71" t="inlineStr">
        <is>
          <t>1</t>
        </is>
      </c>
      <c r="B71" t="inlineStr">
        <is>
          <t>Thriving Heath</t>
        </is>
      </c>
      <c r="C71" t="b">
        <v>1</v>
      </c>
      <c r="D71" t="b">
        <v>0</v>
      </c>
      <c r="E71" t="inlineStr"/>
      <c r="F71" t="inlineStr">
        <is>
          <t>Lands</t>
        </is>
      </c>
      <c r="G71" t="inlineStr">
        <is>
          <t>Common</t>
        </is>
      </c>
      <c r="H71" t="inlineStr">
        <is>
          <t>ECC</t>
        </is>
      </c>
      <c r="I71" t="inlineStr">
        <is>
          <t>0</t>
        </is>
      </c>
      <c r="J71">
        <f>IMAGE("https://api.scryfall.com/cards/named?exact=Thriving%20Heath&amp;format=image&amp;version=normal")</f>
        <v/>
      </c>
      <c r="K71" t="inlineStr">
        <is>
          <t>$0.24</t>
        </is>
      </c>
      <c r="L71" t="inlineStr">
        <is>
          <t>This land enters tapped. As it enters, choose a color other than white. {T}: Add {W} or one mana of the chosen color.</t>
        </is>
      </c>
    </row>
    <row r="72" ht="270" customHeight="1">
      <c r="A72" t="inlineStr">
        <is>
          <t>1</t>
        </is>
      </c>
      <c r="B72" t="inlineStr">
        <is>
          <t>Thriving Isle</t>
        </is>
      </c>
      <c r="C72" t="b">
        <v>1</v>
      </c>
      <c r="D72" t="b">
        <v>0</v>
      </c>
      <c r="E72" t="inlineStr"/>
      <c r="F72" t="inlineStr">
        <is>
          <t>Lands</t>
        </is>
      </c>
      <c r="G72" t="inlineStr">
        <is>
          <t>Common</t>
        </is>
      </c>
      <c r="H72" t="inlineStr">
        <is>
          <t>TMC</t>
        </is>
      </c>
      <c r="I72" t="inlineStr">
        <is>
          <t>0</t>
        </is>
      </c>
      <c r="J72">
        <f>IMAGE("https://api.scryfall.com/cards/named?exact=Thriving%20Isle&amp;format=image&amp;version=normal")</f>
        <v/>
      </c>
      <c r="K72" t="inlineStr">
        <is>
          <t>$0.28</t>
        </is>
      </c>
      <c r="L72" t="inlineStr">
        <is>
          <t>This land enters tapped. As it enters, choose a color other than blue. {T}: Add {U} or one mana of the chosen color.</t>
        </is>
      </c>
    </row>
    <row r="73" ht="270" customHeight="1">
      <c r="A73" t="inlineStr">
        <is>
          <t>1</t>
        </is>
      </c>
      <c r="B73" t="inlineStr">
        <is>
          <t>Tocasia's Welcome</t>
        </is>
      </c>
      <c r="C73" t="b">
        <v>0</v>
      </c>
      <c r="D73" t="b">
        <v>0</v>
      </c>
      <c r="E73" t="inlineStr"/>
      <c r="F73" t="inlineStr">
        <is>
          <t>Card Advantage</t>
        </is>
      </c>
      <c r="G73" t="inlineStr">
        <is>
          <t>Rare</t>
        </is>
      </c>
      <c r="H73" t="inlineStr">
        <is>
          <t>SOC</t>
        </is>
      </c>
      <c r="I73" t="inlineStr">
        <is>
          <t>3</t>
        </is>
      </c>
      <c r="J73">
        <f>IMAGE("https://api.scryfall.com/cards/named?exact=Tocasia%27s%20Welcome&amp;format=image&amp;version=normal")</f>
        <v/>
      </c>
      <c r="K73" t="inlineStr">
        <is>
          <t>$0.67</t>
        </is>
      </c>
      <c r="L73" t="inlineStr">
        <is>
          <t>Whenever one or more creatures you control with mana value 3 or less enter, draw a card. This ability triggers only once each turn.</t>
        </is>
      </c>
    </row>
    <row r="74" ht="270" customHeight="1">
      <c r="A74" t="inlineStr">
        <is>
          <t>1</t>
        </is>
      </c>
      <c r="B74" t="inlineStr">
        <is>
          <t>Uneasy Alliance</t>
        </is>
      </c>
      <c r="C74" t="b">
        <v>1</v>
      </c>
      <c r="D74" t="b">
        <v>0</v>
      </c>
      <c r="E74" t="inlineStr"/>
      <c r="F74" t="inlineStr">
        <is>
          <t>Interaction</t>
        </is>
      </c>
      <c r="G74" t="inlineStr">
        <is>
          <t>Common</t>
        </is>
      </c>
      <c r="H74" t="inlineStr">
        <is>
          <t>TMT</t>
        </is>
      </c>
      <c r="I74" t="inlineStr">
        <is>
          <t>2</t>
        </is>
      </c>
      <c r="J74">
        <f>IMAGE("https://api.scryfall.com/cards/named?exact=Uneasy%20Alliance&amp;format=image&amp;version=normal")</f>
        <v/>
      </c>
      <c r="K74" t="inlineStr">
        <is>
          <t>$0.11</t>
        </is>
      </c>
      <c r="L74" t="inlineStr">
        <is>
          <t>Enchant creature Enchanted creature can't attack or block. {5}, Sacrifice this Aura: Exile enchanted creature. You create a 1/1 black Ninja creature token. Activate only as a sorcery.</t>
        </is>
      </c>
    </row>
    <row r="75" ht="270" customHeight="1">
      <c r="A75" t="inlineStr">
        <is>
          <t>1</t>
        </is>
      </c>
      <c r="B75" t="inlineStr">
        <is>
          <t>Wayfarer's Bauble</t>
        </is>
      </c>
      <c r="C75" t="b">
        <v>1</v>
      </c>
      <c r="D75" t="b">
        <v>0</v>
      </c>
      <c r="E75" t="inlineStr"/>
      <c r="F75" t="inlineStr">
        <is>
          <t>Ramp</t>
        </is>
      </c>
      <c r="G75" t="inlineStr">
        <is>
          <t>Rare</t>
        </is>
      </c>
      <c r="H75" t="inlineStr">
        <is>
          <t>SLD</t>
        </is>
      </c>
      <c r="I75" t="inlineStr">
        <is>
          <t>1</t>
        </is>
      </c>
      <c r="J75">
        <f>IMAGE("https://api.scryfall.com/cards/named?exact=Wayfarer%27s%20Bauble&amp;format=image&amp;version=normal")</f>
        <v/>
      </c>
      <c r="K75" t="inlineStr"/>
      <c r="L75" t="inlineStr">
        <is>
          <t>{2}, {T}, Sacrifice this artifact: Search your library for a basic land card, put that card onto the battlefield tapped, then shuffle.</t>
        </is>
      </c>
    </row>
    <row r="76" ht="270" customHeight="1">
      <c r="A76" t="inlineStr">
        <is>
          <t>1</t>
        </is>
      </c>
      <c r="B76" t="inlineStr">
        <is>
          <t>Welcoming Vampire</t>
        </is>
      </c>
      <c r="C76" t="b">
        <v>0</v>
      </c>
      <c r="D76" t="b">
        <v>0</v>
      </c>
      <c r="E76" t="inlineStr"/>
      <c r="F76" t="inlineStr">
        <is>
          <t>Card Advantage</t>
        </is>
      </c>
      <c r="G76" t="inlineStr">
        <is>
          <t>Rare</t>
        </is>
      </c>
      <c r="H76" t="inlineStr">
        <is>
          <t>TDC</t>
        </is>
      </c>
      <c r="I76" t="inlineStr">
        <is>
          <t>3</t>
        </is>
      </c>
      <c r="J76">
        <f>IMAGE("https://api.scryfall.com/cards/named?exact=Welcoming%20Vampire&amp;format=image&amp;version=normal")</f>
        <v/>
      </c>
      <c r="K76" t="inlineStr">
        <is>
          <t>$3.00</t>
        </is>
      </c>
      <c r="L76" t="inlineStr">
        <is>
          <t>Flying Whenever one or more other creatures you control with power 2 or less enter, draw a card. This ability triggers only once each turn.</t>
        </is>
      </c>
    </row>
    <row r="78">
      <c r="A78" t="inlineStr">
        <is>
          <t>Total Cost (Have Physical Copy = false)</t>
        </is>
      </c>
      <c r="K78" s="2">
        <f>SUMPRODUCT(--(LOWER(TEXT($C$2:$C$76,"@"))="false"),IFERROR(VALUE(SUBSTITUTE($K$2:$K$76,"$","")),0))</f>
        <v/>
      </c>
    </row>
  </sheetData>
  <conditionalFormatting sqref="C2:C76">
    <cfRule type="expression" priority="1" dxfId="0">
      <formula>=OR($C2=TRUE,LOWER(TEXT($C2,"@"))="true")</formula>
    </cfRule>
    <cfRule type="expression" priority="2" dxfId="1">
      <formula>=OR($C2=FALSE,LOWER(TEXT($C2,"@"))="false")</formula>
    </cfRule>
  </conditionalFormatting>
  <conditionalFormatting sqref="D2:D76">
    <cfRule type="expression" priority="3" dxfId="2">
      <formula>=OR($D2=TRUE,LOWER(TEXT($D2,"@"))="true")</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Conditional formatting rules</t>
        </is>
      </c>
    </row>
    <row r="2">
      <c r="A2" t="inlineStr">
        <is>
          <t>Have Physical Copy: TRUE = green, FALSE = yellow</t>
        </is>
      </c>
    </row>
    <row r="3">
      <c r="A3" t="inlineStr">
        <is>
          <t>Cut: TRUE = red</t>
        </is>
      </c>
    </row>
    <row r="5">
      <c r="A5" t="inlineStr">
        <is>
          <t>Have Physical Copy formula (green)</t>
        </is>
      </c>
    </row>
    <row r="6">
      <c r="A6">
        <f>OR($C2=TRUE,LOWER(TEXT($C2,"@"))="true")</f>
        <v/>
      </c>
    </row>
    <row r="7">
      <c r="A7" t="inlineStr">
        <is>
          <t>Have Physical Copy formula (yellow)</t>
        </is>
      </c>
    </row>
    <row r="8">
      <c r="A8">
        <f>OR($C2=FALSE,LOWER(TEXT($C2,"@"))="false")</f>
        <v/>
      </c>
    </row>
    <row r="9">
      <c r="A9" t="inlineStr">
        <is>
          <t>Cut formula (red)</t>
        </is>
      </c>
    </row>
    <row r="10">
      <c r="A10">
        <f>OR($D2=TRUE,LOWER(TEXT($D2,"@"))="true")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2026-05-28T02:56:22Z</dcterms:created>
  <dcterms:modified xsi:type="dcterms:W3CDTF">2026-05-28T02:56:22Z</dcterms:modified>
</cp:coreProperties>
</file>