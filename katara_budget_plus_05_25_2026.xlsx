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ck" sheetId="1" state="visible" r:id="rId1"/>
    <sheet name="Formatt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86" customWidth="1" min="1" max="1"/>
    <col width="16.86" customWidth="1" min="2" max="2"/>
    <col width="16.86" customWidth="1" min="3" max="3"/>
    <col width="16.86" customWidth="1" min="4" max="4"/>
    <col width="16.86" customWidth="1" min="5" max="5"/>
    <col width="101.16" customWidth="1" min="6" max="6"/>
    <col width="16.86" customWidth="1" min="7" max="7"/>
  </cols>
  <sheetData>
    <row r="1">
      <c r="A1" s="1" t="inlineStr">
        <is>
          <t>Quantity</t>
        </is>
      </c>
      <c r="B1" s="1" t="inlineStr">
        <is>
          <t>Card Title</t>
        </is>
      </c>
      <c r="C1" s="1" t="inlineStr">
        <is>
          <t>Have Physical Copy</t>
        </is>
      </c>
      <c r="D1" s="1" t="inlineStr">
        <is>
          <t>Cut</t>
        </is>
      </c>
      <c r="E1" s="1" t="inlineStr">
        <is>
          <t>Cut Reason</t>
        </is>
      </c>
      <c r="F1" s="1" t="inlineStr">
        <is>
          <t>Image</t>
        </is>
      </c>
      <c r="G1" s="1" t="inlineStr">
        <is>
          <t>Price</t>
        </is>
      </c>
    </row>
    <row r="2" ht="270" customHeight="1">
      <c r="A2" t="inlineStr">
        <is>
          <t>1</t>
        </is>
      </c>
      <c r="B2" t="inlineStr">
        <is>
          <t>Katara, Water Tribe's Hope</t>
        </is>
      </c>
      <c r="C2" t="b">
        <v>1</v>
      </c>
      <c r="D2" t="b">
        <v>0</v>
      </c>
      <c r="E2" t="inlineStr"/>
      <c r="F2">
        <f>IMAGE("https://api.scryfall.com/cards/named?exact=Katara%2C%20Water%20Tribe%27s%20Hope&amp;format=image&amp;version=normal")</f>
        <v/>
      </c>
      <c r="G2" t="inlineStr"/>
    </row>
    <row r="3" ht="270" customHeight="1">
      <c r="A3" t="inlineStr">
        <is>
          <t>1</t>
        </is>
      </c>
      <c r="B3" t="inlineStr">
        <is>
          <t>Curious Farm Animals</t>
        </is>
      </c>
      <c r="C3" t="b">
        <v>1</v>
      </c>
      <c r="D3" t="b">
        <v>0</v>
      </c>
      <c r="E3" t="inlineStr"/>
      <c r="F3">
        <f>IMAGE("https://api.scryfall.com/cards/named?exact=Curious%20Farm%20Animals&amp;format=image&amp;version=normal")</f>
        <v/>
      </c>
      <c r="G3" t="inlineStr"/>
    </row>
    <row r="4" ht="270" customHeight="1">
      <c r="A4" t="inlineStr">
        <is>
          <t>1</t>
        </is>
      </c>
      <c r="B4" t="inlineStr">
        <is>
          <t>Inspired Insurgent</t>
        </is>
      </c>
      <c r="C4" t="b">
        <v>1</v>
      </c>
      <c r="D4" t="b">
        <v>0</v>
      </c>
      <c r="E4" t="inlineStr"/>
      <c r="F4">
        <f>IMAGE("https://api.scryfall.com/cards/named?exact=Inspired%20Insurgent&amp;format=image&amp;version=normal")</f>
        <v/>
      </c>
      <c r="G4" t="inlineStr"/>
    </row>
    <row r="5" ht="270" customHeight="1">
      <c r="A5" t="inlineStr">
        <is>
          <t>1</t>
        </is>
      </c>
      <c r="B5" t="inlineStr">
        <is>
          <t>Invasion Reinforcements</t>
        </is>
      </c>
      <c r="C5" t="b">
        <v>1</v>
      </c>
      <c r="D5" t="b">
        <v>0</v>
      </c>
      <c r="E5" t="inlineStr"/>
      <c r="F5">
        <f>IMAGE("https://api.scryfall.com/cards/named?exact=Invasion%20Reinforcements&amp;format=image&amp;version=normal")</f>
        <v/>
      </c>
      <c r="G5" t="inlineStr"/>
    </row>
    <row r="6" ht="270" customHeight="1">
      <c r="A6" t="inlineStr">
        <is>
          <t>1</t>
        </is>
      </c>
      <c r="B6" t="inlineStr">
        <is>
          <t>Ornithopter of Paradise</t>
        </is>
      </c>
      <c r="C6" t="b">
        <v>1</v>
      </c>
      <c r="D6" t="b">
        <v>0</v>
      </c>
      <c r="E6" t="inlineStr"/>
      <c r="F6">
        <f>IMAGE("https://api.scryfall.com/cards/named?exact=Ornithopter%20of%20Paradise&amp;format=image&amp;version=normal")</f>
        <v/>
      </c>
      <c r="G6" t="inlineStr"/>
    </row>
    <row r="7" ht="270" customHeight="1">
      <c r="A7" t="inlineStr">
        <is>
          <t>1</t>
        </is>
      </c>
      <c r="B7" t="inlineStr">
        <is>
          <t>Resolute Reinforcements</t>
        </is>
      </c>
      <c r="C7" t="b">
        <v>1</v>
      </c>
      <c r="D7" t="b">
        <v>0</v>
      </c>
      <c r="E7" t="inlineStr"/>
      <c r="F7">
        <f>IMAGE("https://api.scryfall.com/cards/named?exact=Resolute%20Reinforcements&amp;format=image&amp;version=normal")</f>
        <v/>
      </c>
      <c r="G7" t="inlineStr"/>
    </row>
    <row r="8" ht="270" customHeight="1">
      <c r="A8" t="inlineStr">
        <is>
          <t>1</t>
        </is>
      </c>
      <c r="B8" t="inlineStr">
        <is>
          <t>Tetsuko Umezawa, Fugitive</t>
        </is>
      </c>
      <c r="C8" t="b">
        <v>1</v>
      </c>
      <c r="D8" t="b">
        <v>0</v>
      </c>
      <c r="E8" t="inlineStr"/>
      <c r="F8">
        <f>IMAGE("https://api.scryfall.com/cards/named?exact=Tetsuko%20Umezawa%2C%20Fugitive&amp;format=image&amp;version=normal")</f>
        <v/>
      </c>
      <c r="G8" t="inlineStr"/>
    </row>
    <row r="9" ht="270" customHeight="1">
      <c r="A9" t="inlineStr">
        <is>
          <t>1</t>
        </is>
      </c>
      <c r="B9" t="inlineStr">
        <is>
          <t>Earth Kingdom Jailer</t>
        </is>
      </c>
      <c r="C9" t="b">
        <v>1</v>
      </c>
      <c r="D9" t="b">
        <v>0</v>
      </c>
      <c r="E9" t="inlineStr"/>
      <c r="F9">
        <f>IMAGE("https://api.scryfall.com/cards/named?exact=Earth%20Kingdom%20Jailer&amp;format=image&amp;version=normal")</f>
        <v/>
      </c>
      <c r="G9" t="inlineStr"/>
    </row>
    <row r="10" ht="270" customHeight="1">
      <c r="A10" t="inlineStr">
        <is>
          <t>1</t>
        </is>
      </c>
      <c r="B10" t="inlineStr">
        <is>
          <t>Appa, Aang's Companion</t>
        </is>
      </c>
      <c r="C10" t="b">
        <v>1</v>
      </c>
      <c r="D10" t="b">
        <v>0</v>
      </c>
      <c r="E10" t="inlineStr"/>
      <c r="F10">
        <f>IMAGE("https://api.scryfall.com/cards/named?exact=Appa%2C%20Aang%27s%20Companion&amp;format=image&amp;version=normal")</f>
        <v/>
      </c>
      <c r="G10" t="inlineStr"/>
    </row>
    <row r="11" ht="270" customHeight="1">
      <c r="A11" t="inlineStr">
        <is>
          <t>1</t>
        </is>
      </c>
      <c r="B11" t="inlineStr">
        <is>
          <t>Aven Wind Guide</t>
        </is>
      </c>
      <c r="C11" t="b">
        <v>1</v>
      </c>
      <c r="D11" t="b">
        <v>0</v>
      </c>
      <c r="E11" t="inlineStr"/>
      <c r="F11">
        <f>IMAGE("https://api.scryfall.com/cards/named?exact=Aven%20Wind%20Guide&amp;format=image&amp;version=normal")</f>
        <v/>
      </c>
      <c r="G11" t="inlineStr"/>
    </row>
    <row r="12" ht="270" customHeight="1">
      <c r="A12" t="inlineStr">
        <is>
          <t>1</t>
        </is>
      </c>
      <c r="B12" t="inlineStr">
        <is>
          <t>Eluge, the Shoreless Sea</t>
        </is>
      </c>
      <c r="C12" t="b">
        <v>1</v>
      </c>
      <c r="D12" t="b">
        <v>0</v>
      </c>
      <c r="E12" t="inlineStr"/>
      <c r="F12">
        <f>IMAGE("https://api.scryfall.com/cards/named?exact=Eluge%2C%20the%20Shoreless%20Sea&amp;format=image&amp;version=normal")</f>
        <v/>
      </c>
      <c r="G12" t="inlineStr"/>
    </row>
    <row r="13" ht="270" customHeight="1">
      <c r="A13" t="inlineStr">
        <is>
          <t>1</t>
        </is>
      </c>
      <c r="B13" t="inlineStr">
        <is>
          <t>Emeria Angel</t>
        </is>
      </c>
      <c r="C13" t="b">
        <v>1</v>
      </c>
      <c r="D13" t="b">
        <v>0</v>
      </c>
      <c r="E13" t="inlineStr"/>
      <c r="F13">
        <f>IMAGE("https://api.scryfall.com/cards/named?exact=Emeria%20Angel&amp;format=image&amp;version=normal")</f>
        <v/>
      </c>
      <c r="G13" t="inlineStr"/>
    </row>
    <row r="14" ht="270" customHeight="1">
      <c r="A14" t="inlineStr">
        <is>
          <t>1</t>
        </is>
      </c>
      <c r="B14" t="inlineStr">
        <is>
          <t>Keeper of the Accord</t>
        </is>
      </c>
      <c r="C14" t="b">
        <v>1</v>
      </c>
      <c r="D14" t="b">
        <v>0</v>
      </c>
      <c r="E14" t="inlineStr"/>
      <c r="F14">
        <f>IMAGE("https://api.scryfall.com/cards/named?exact=Keeper%20of%20the%20Accord&amp;format=image&amp;version=normal")</f>
        <v/>
      </c>
      <c r="G14" t="inlineStr"/>
    </row>
    <row r="15" ht="270" customHeight="1">
      <c r="A15" t="inlineStr">
        <is>
          <t>1</t>
        </is>
      </c>
      <c r="B15" t="inlineStr">
        <is>
          <t>Loyal Unicorn</t>
        </is>
      </c>
      <c r="C15" t="b">
        <v>1</v>
      </c>
      <c r="D15" t="b">
        <v>0</v>
      </c>
      <c r="E15" t="inlineStr"/>
      <c r="F15">
        <f>IMAGE("https://api.scryfall.com/cards/named?exact=Loyal%20Unicorn&amp;format=image&amp;version=normal")</f>
        <v/>
      </c>
      <c r="G15" t="inlineStr"/>
    </row>
    <row r="16" ht="270" customHeight="1">
      <c r="A16" t="inlineStr">
        <is>
          <t>1</t>
        </is>
      </c>
      <c r="B16" t="inlineStr">
        <is>
          <t>Odric, Lunarch Marshal</t>
        </is>
      </c>
      <c r="C16" t="b">
        <v>1</v>
      </c>
      <c r="D16" t="b">
        <v>0</v>
      </c>
      <c r="E16" t="inlineStr"/>
      <c r="F16">
        <f>IMAGE("https://api.scryfall.com/cards/named?exact=Odric%2C%20Lunarch%20Marshal&amp;format=image&amp;version=normal")</f>
        <v/>
      </c>
      <c r="G16" t="inlineStr"/>
    </row>
    <row r="17" ht="270" customHeight="1">
      <c r="A17" t="inlineStr">
        <is>
          <t>1</t>
        </is>
      </c>
      <c r="B17" t="inlineStr">
        <is>
          <t>Appa, Loyal Sky Bison</t>
        </is>
      </c>
      <c r="C17" t="b">
        <v>1</v>
      </c>
      <c r="D17" t="b">
        <v>0</v>
      </c>
      <c r="E17" t="inlineStr"/>
      <c r="F17">
        <f>IMAGE("https://api.scryfall.com/cards/named?exact=Appa%2C%20Loyal%20Sky%20Bison&amp;format=image&amp;version=normal")</f>
        <v/>
      </c>
      <c r="G17" t="inlineStr"/>
    </row>
    <row r="18" ht="270" customHeight="1">
      <c r="A18" t="inlineStr">
        <is>
          <t>1</t>
        </is>
      </c>
      <c r="B18" t="inlineStr">
        <is>
          <t>Threefold Thunderhulk</t>
        </is>
      </c>
      <c r="C18" t="b">
        <v>1</v>
      </c>
      <c r="D18" t="b">
        <v>0</v>
      </c>
      <c r="E18" t="inlineStr"/>
      <c r="F18">
        <f>IMAGE("https://api.scryfall.com/cards/named?exact=Threefold%20Thunderhulk&amp;format=image&amp;version=normal")</f>
        <v/>
      </c>
      <c r="G18" t="inlineStr"/>
    </row>
    <row r="19" ht="270" customHeight="1">
      <c r="A19" t="inlineStr">
        <is>
          <t>1</t>
        </is>
      </c>
      <c r="B19" t="inlineStr">
        <is>
          <t>The Walls of Ba Sing Se</t>
        </is>
      </c>
      <c r="C19" t="b">
        <v>1</v>
      </c>
      <c r="D19" t="b">
        <v>0</v>
      </c>
      <c r="E19" t="inlineStr"/>
      <c r="F19">
        <f>IMAGE("https://api.scryfall.com/cards/named?exact=The%20Walls%20of%20Ba%20Sing%20Se&amp;format=image&amp;version=normal")</f>
        <v/>
      </c>
      <c r="G19" t="inlineStr"/>
    </row>
    <row r="20" ht="270" customHeight="1">
      <c r="A20" t="inlineStr">
        <is>
          <t>1</t>
        </is>
      </c>
      <c r="B20" t="inlineStr">
        <is>
          <t>Welcoming Vampire</t>
        </is>
      </c>
      <c r="C20" t="b">
        <v>0</v>
      </c>
      <c r="D20" t="b">
        <v>0</v>
      </c>
      <c r="E20" t="inlineStr"/>
      <c r="F20">
        <f>IMAGE("https://api.scryfall.com/cards/named?exact=Welcoming%20Vampire&amp;format=image&amp;version=normal")</f>
        <v/>
      </c>
      <c r="G20" t="inlineStr"/>
    </row>
    <row r="21" ht="270" customHeight="1">
      <c r="A21" t="inlineStr">
        <is>
          <t>1</t>
        </is>
      </c>
      <c r="B21" t="inlineStr">
        <is>
          <t>Aerial Extortionist</t>
        </is>
      </c>
      <c r="C21" t="b">
        <v>0</v>
      </c>
      <c r="D21" t="b">
        <v>0</v>
      </c>
      <c r="E21" t="inlineStr"/>
      <c r="F21">
        <f>IMAGE("https://api.scryfall.com/cards/named?exact=Aerial%20Extortionist&amp;format=image&amp;version=normal")</f>
        <v/>
      </c>
      <c r="G21" t="inlineStr"/>
    </row>
    <row r="22" ht="270" customHeight="1">
      <c r="A22" t="inlineStr">
        <is>
          <t>1</t>
        </is>
      </c>
      <c r="B22" t="inlineStr">
        <is>
          <t>Adeline, Resplendent Cathar</t>
        </is>
      </c>
      <c r="C22" t="b">
        <v>0</v>
      </c>
      <c r="D22" t="b">
        <v>0</v>
      </c>
      <c r="E22" t="inlineStr"/>
      <c r="F22">
        <f>IMAGE("https://api.scryfall.com/cards/named?exact=Adeline%2C%20Resplendent%20Cathar&amp;format=image&amp;version=normal")</f>
        <v/>
      </c>
      <c r="G22" t="inlineStr"/>
    </row>
    <row r="23" ht="270" customHeight="1">
      <c r="A23" t="inlineStr">
        <is>
          <t>1</t>
        </is>
      </c>
      <c r="B23" t="inlineStr">
        <is>
          <t>Curiosity Crafter</t>
        </is>
      </c>
      <c r="C23" t="b">
        <v>0</v>
      </c>
      <c r="D23" t="b">
        <v>0</v>
      </c>
      <c r="E23" t="inlineStr"/>
      <c r="F23">
        <f>IMAGE("https://api.scryfall.com/cards/named?exact=Curiosity%20Crafter&amp;format=image&amp;version=normal")</f>
        <v/>
      </c>
      <c r="G23" t="inlineStr"/>
    </row>
    <row r="24" ht="270" customHeight="1">
      <c r="A24" t="inlineStr">
        <is>
          <t>1</t>
        </is>
      </c>
      <c r="B24" t="inlineStr">
        <is>
          <t>Mentor of the Meek</t>
        </is>
      </c>
      <c r="C24" t="b">
        <v>0</v>
      </c>
      <c r="D24" t="b">
        <v>0</v>
      </c>
      <c r="E24" t="inlineStr"/>
      <c r="F24">
        <f>IMAGE("https://api.scryfall.com/cards/named?exact=Mentor%20of%20the%20Meek&amp;format=image&amp;version=normal")</f>
        <v/>
      </c>
      <c r="G24" t="inlineStr"/>
    </row>
    <row r="25" ht="270" customHeight="1">
      <c r="A25" t="inlineStr">
        <is>
          <t>1</t>
        </is>
      </c>
      <c r="B25" t="inlineStr">
        <is>
          <t>Ajani's Chosen</t>
        </is>
      </c>
      <c r="C25" t="b">
        <v>0</v>
      </c>
      <c r="D25" t="b">
        <v>0</v>
      </c>
      <c r="E25" t="inlineStr"/>
      <c r="F25">
        <f>IMAGE("https://api.scryfall.com/cards/named?exact=Ajani%27s%20Chosen&amp;format=image&amp;version=normal")</f>
        <v/>
      </c>
      <c r="G25" t="inlineStr"/>
    </row>
    <row r="26" ht="270" customHeight="1">
      <c r="A26" t="inlineStr">
        <is>
          <t>1</t>
        </is>
      </c>
      <c r="B26" t="inlineStr">
        <is>
          <t>Everflowing Chalice</t>
        </is>
      </c>
      <c r="C26" t="b">
        <v>1</v>
      </c>
      <c r="D26" t="b">
        <v>0</v>
      </c>
      <c r="E26" t="inlineStr"/>
      <c r="F26">
        <f>IMAGE("https://api.scryfall.com/cards/named?exact=Everflowing%20Chalice&amp;format=image&amp;version=normal")</f>
        <v/>
      </c>
      <c r="G26" t="inlineStr"/>
    </row>
    <row r="27" ht="270" customHeight="1">
      <c r="A27" t="inlineStr">
        <is>
          <t>1</t>
        </is>
      </c>
      <c r="B27" t="inlineStr">
        <is>
          <t>Skeleton Key</t>
        </is>
      </c>
      <c r="C27" t="b">
        <v>1</v>
      </c>
      <c r="D27" t="b">
        <v>0</v>
      </c>
      <c r="E27" t="inlineStr"/>
      <c r="F27">
        <f>IMAGE("https://api.scryfall.com/cards/named?exact=Skeleton%20Key&amp;format=image&amp;version=normal")</f>
        <v/>
      </c>
      <c r="G27" t="inlineStr"/>
    </row>
    <row r="28" ht="270" customHeight="1">
      <c r="A28" t="inlineStr">
        <is>
          <t>1</t>
        </is>
      </c>
      <c r="B28" t="inlineStr">
        <is>
          <t>Sol Ring</t>
        </is>
      </c>
      <c r="C28" t="b">
        <v>1</v>
      </c>
      <c r="D28" t="b">
        <v>0</v>
      </c>
      <c r="E28" t="inlineStr"/>
      <c r="F28">
        <f>IMAGE("https://api.scryfall.com/cards/named?exact=Sol%20Ring&amp;format=image&amp;version=normal")</f>
        <v/>
      </c>
      <c r="G28" t="inlineStr"/>
    </row>
    <row r="29" ht="270" customHeight="1">
      <c r="A29" t="inlineStr">
        <is>
          <t>1</t>
        </is>
      </c>
      <c r="B29" t="inlineStr">
        <is>
          <t>Wayfarer's Bauble</t>
        </is>
      </c>
      <c r="C29" t="b">
        <v>1</v>
      </c>
      <c r="D29" t="b">
        <v>0</v>
      </c>
      <c r="E29" t="inlineStr"/>
      <c r="F29">
        <f>IMAGE("https://api.scryfall.com/cards/named?exact=Wayfarer%27s%20Bauble&amp;format=image&amp;version=normal")</f>
        <v/>
      </c>
      <c r="G29" t="inlineStr"/>
    </row>
    <row r="30" ht="270" customHeight="1">
      <c r="A30" t="inlineStr">
        <is>
          <t>1</t>
        </is>
      </c>
      <c r="B30" t="inlineStr">
        <is>
          <t>Arcane Signet</t>
        </is>
      </c>
      <c r="C30" t="b">
        <v>1</v>
      </c>
      <c r="D30" t="b">
        <v>0</v>
      </c>
      <c r="E30" t="inlineStr"/>
      <c r="F30">
        <f>IMAGE("https://api.scryfall.com/cards/named?exact=Arcane%20Signet&amp;format=image&amp;version=normal")</f>
        <v/>
      </c>
      <c r="G30" t="inlineStr"/>
    </row>
    <row r="31" ht="270" customHeight="1">
      <c r="A31" t="inlineStr">
        <is>
          <t>1</t>
        </is>
      </c>
      <c r="B31" t="inlineStr">
        <is>
          <t>Azorius Signet</t>
        </is>
      </c>
      <c r="C31" t="b">
        <v>1</v>
      </c>
      <c r="D31" t="b">
        <v>0</v>
      </c>
      <c r="E31" t="inlineStr"/>
      <c r="F31">
        <f>IMAGE("https://api.scryfall.com/cards/named?exact=Azorius%20Signet&amp;format=image&amp;version=normal")</f>
        <v/>
      </c>
      <c r="G31" t="inlineStr"/>
    </row>
    <row r="32" ht="270" customHeight="1">
      <c r="A32" t="inlineStr">
        <is>
          <t>1</t>
        </is>
      </c>
      <c r="B32" t="inlineStr">
        <is>
          <t>Mind Stone</t>
        </is>
      </c>
      <c r="C32" t="b">
        <v>1</v>
      </c>
      <c r="D32" t="b">
        <v>0</v>
      </c>
      <c r="E32" t="inlineStr"/>
      <c r="F32">
        <f>IMAGE("https://api.scryfall.com/cards/named?exact=Mind%20Stone&amp;format=image&amp;version=normal")</f>
        <v/>
      </c>
      <c r="G32" t="inlineStr"/>
    </row>
    <row r="33" ht="270" customHeight="1">
      <c r="A33" t="inlineStr">
        <is>
          <t>1</t>
        </is>
      </c>
      <c r="B33" t="inlineStr">
        <is>
          <t>Swiftfoot Boots</t>
        </is>
      </c>
      <c r="C33" t="b">
        <v>1</v>
      </c>
      <c r="D33" t="b">
        <v>0</v>
      </c>
      <c r="E33" t="inlineStr"/>
      <c r="F33">
        <f>IMAGE("https://api.scryfall.com/cards/named?exact=Swiftfoot%20Boots&amp;format=image&amp;version=normal")</f>
        <v/>
      </c>
      <c r="G33" t="inlineStr"/>
    </row>
    <row r="34" ht="270" customHeight="1">
      <c r="A34" t="inlineStr">
        <is>
          <t>1</t>
        </is>
      </c>
      <c r="B34" t="inlineStr">
        <is>
          <t>Talisman of Progress</t>
        </is>
      </c>
      <c r="C34" t="b">
        <v>1</v>
      </c>
      <c r="D34" t="b">
        <v>0</v>
      </c>
      <c r="E34" t="inlineStr"/>
      <c r="F34">
        <f>IMAGE("https://api.scryfall.com/cards/named?exact=Talisman%20of%20Progress&amp;format=image&amp;version=normal")</f>
        <v/>
      </c>
      <c r="G34" t="inlineStr"/>
    </row>
    <row r="35" ht="270" customHeight="1">
      <c r="A35" t="inlineStr">
        <is>
          <t>1</t>
        </is>
      </c>
      <c r="B35" t="inlineStr">
        <is>
          <t>Thought Vessel</t>
        </is>
      </c>
      <c r="C35" t="b">
        <v>1</v>
      </c>
      <c r="D35" t="b">
        <v>0</v>
      </c>
      <c r="E35" t="inlineStr"/>
      <c r="F35">
        <f>IMAGE("https://api.scryfall.com/cards/named?exact=Thought%20Vessel&amp;format=image&amp;version=normal")</f>
        <v/>
      </c>
      <c r="G35" t="inlineStr"/>
    </row>
    <row r="36" ht="270" customHeight="1">
      <c r="A36" t="inlineStr">
        <is>
          <t>1</t>
        </is>
      </c>
      <c r="B36" t="inlineStr">
        <is>
          <t>Archaeomancer's Map</t>
        </is>
      </c>
      <c r="C36" t="b">
        <v>1</v>
      </c>
      <c r="D36" t="b">
        <v>0</v>
      </c>
      <c r="E36" t="inlineStr"/>
      <c r="F36">
        <f>IMAGE("https://api.scryfall.com/cards/named?exact=Archaeomancer%27s%20Map&amp;format=image&amp;version=normal")</f>
        <v/>
      </c>
      <c r="G36" t="inlineStr"/>
    </row>
    <row r="37" ht="270" customHeight="1">
      <c r="A37" t="inlineStr">
        <is>
          <t>1</t>
        </is>
      </c>
      <c r="B37" t="inlineStr">
        <is>
          <t>Hedron Archive</t>
        </is>
      </c>
      <c r="C37" t="b">
        <v>1</v>
      </c>
      <c r="D37" t="b">
        <v>0</v>
      </c>
      <c r="E37" t="inlineStr"/>
      <c r="F37">
        <f>IMAGE("https://api.scryfall.com/cards/named?exact=Hedron%20Archive&amp;format=image&amp;version=normal")</f>
        <v/>
      </c>
      <c r="G37" t="inlineStr"/>
    </row>
    <row r="38" ht="270" customHeight="1">
      <c r="A38" t="inlineStr">
        <is>
          <t>1</t>
        </is>
      </c>
      <c r="B38" t="inlineStr">
        <is>
          <t>Idol of Oblivion</t>
        </is>
      </c>
      <c r="C38" t="b">
        <v>0</v>
      </c>
      <c r="D38" t="b">
        <v>0</v>
      </c>
      <c r="E38" t="inlineStr"/>
      <c r="F38">
        <f>IMAGE("https://api.scryfall.com/cards/named?exact=Idol%20of%20Oblivion&amp;format=image&amp;version=normal")</f>
        <v/>
      </c>
      <c r="G38" t="inlineStr"/>
    </row>
    <row r="39" ht="270" customHeight="1">
      <c r="A39" t="inlineStr">
        <is>
          <t>1</t>
        </is>
      </c>
      <c r="B39" t="inlineStr">
        <is>
          <t>Thran Dynamo</t>
        </is>
      </c>
      <c r="C39" t="b">
        <v>0</v>
      </c>
      <c r="D39" t="b">
        <v>0</v>
      </c>
      <c r="E39" t="inlineStr"/>
      <c r="F39">
        <f>IMAGE("https://api.scryfall.com/cards/named?exact=Thran%20Dynamo&amp;format=image&amp;version=normal")</f>
        <v/>
      </c>
      <c r="G39" t="inlineStr"/>
    </row>
    <row r="40" ht="270" customHeight="1">
      <c r="A40" t="inlineStr">
        <is>
          <t>1</t>
        </is>
      </c>
      <c r="B40" t="inlineStr">
        <is>
          <t>Gilded Lotus</t>
        </is>
      </c>
      <c r="C40" t="b">
        <v>0</v>
      </c>
      <c r="D40" t="b">
        <v>0</v>
      </c>
      <c r="E40" t="inlineStr"/>
      <c r="F40">
        <f>IMAGE("https://api.scryfall.com/cards/named?exact=Gilded%20Lotus&amp;format=image&amp;version=normal")</f>
        <v/>
      </c>
      <c r="G40" t="inlineStr"/>
    </row>
    <row r="41" ht="270" customHeight="1">
      <c r="A41" t="inlineStr">
        <is>
          <t>1</t>
        </is>
      </c>
      <c r="B41" t="inlineStr">
        <is>
          <t>Journey to Nowhere</t>
        </is>
      </c>
      <c r="C41" t="b">
        <v>1</v>
      </c>
      <c r="D41" t="b">
        <v>0</v>
      </c>
      <c r="E41" t="inlineStr"/>
      <c r="F41">
        <f>IMAGE("https://api.scryfall.com/cards/named?exact=Journey%20to%20Nowhere&amp;format=image&amp;version=normal")</f>
        <v/>
      </c>
      <c r="G41" t="inlineStr"/>
    </row>
    <row r="42" ht="270" customHeight="1">
      <c r="A42" t="inlineStr">
        <is>
          <t>1</t>
        </is>
      </c>
      <c r="B42" t="inlineStr">
        <is>
          <t>Uneasy Alliance</t>
        </is>
      </c>
      <c r="C42" t="b">
        <v>1</v>
      </c>
      <c r="D42" t="b">
        <v>0</v>
      </c>
      <c r="E42" t="inlineStr"/>
      <c r="F42">
        <f>IMAGE("https://api.scryfall.com/cards/named?exact=Uneasy%20Alliance&amp;format=image&amp;version=normal")</f>
        <v/>
      </c>
      <c r="G42" t="inlineStr"/>
    </row>
    <row r="43" ht="270" customHeight="1">
      <c r="A43" t="inlineStr">
        <is>
          <t>1</t>
        </is>
      </c>
      <c r="B43" t="inlineStr">
        <is>
          <t>Banishing Light</t>
        </is>
      </c>
      <c r="C43" t="b">
        <v>1</v>
      </c>
      <c r="D43" t="b">
        <v>0</v>
      </c>
      <c r="E43" t="inlineStr"/>
      <c r="F43">
        <f>IMAGE("https://api.scryfall.com/cards/named?exact=Banishing%20Light&amp;format=image&amp;version=normal")</f>
        <v/>
      </c>
      <c r="G43" t="inlineStr"/>
    </row>
    <row r="44" ht="270" customHeight="1">
      <c r="A44" t="inlineStr">
        <is>
          <t>1</t>
        </is>
      </c>
      <c r="B44" t="inlineStr">
        <is>
          <t>Coastal Piracy</t>
        </is>
      </c>
      <c r="C44" t="b">
        <v>1</v>
      </c>
      <c r="D44" t="b">
        <v>0</v>
      </c>
      <c r="E44" t="inlineStr"/>
      <c r="F44">
        <f>IMAGE("https://api.scryfall.com/cards/named?exact=Coastal%20Piracy&amp;format=image&amp;version=normal")</f>
        <v/>
      </c>
      <c r="G44" t="inlineStr"/>
    </row>
    <row r="45" ht="270" customHeight="1">
      <c r="A45" t="inlineStr">
        <is>
          <t>1</t>
        </is>
      </c>
      <c r="B45" t="inlineStr">
        <is>
          <t>Restricted Office // Lecture Hall</t>
        </is>
      </c>
      <c r="C45" t="b">
        <v>1</v>
      </c>
      <c r="D45" t="b">
        <v>0</v>
      </c>
      <c r="E45" t="inlineStr"/>
      <c r="F45">
        <f>IMAGE("https://api.scryfall.com/cards/named?exact=Restricted%20Office%20%2F%2F%20Lecture%20Hall&amp;format=image&amp;version=normal")</f>
        <v/>
      </c>
      <c r="G45" t="inlineStr"/>
    </row>
    <row r="46" ht="270" customHeight="1">
      <c r="A46" t="inlineStr">
        <is>
          <t>1</t>
        </is>
      </c>
      <c r="B46" t="inlineStr">
        <is>
          <t>Reconnaissance Mission</t>
        </is>
      </c>
      <c r="C46" t="b">
        <v>0</v>
      </c>
      <c r="D46" t="b">
        <v>0</v>
      </c>
      <c r="E46" t="inlineStr"/>
      <c r="F46">
        <f>IMAGE("https://api.scryfall.com/cards/named?exact=Reconnaissance%20Mission&amp;format=image&amp;version=normal")</f>
        <v/>
      </c>
      <c r="G46" t="inlineStr"/>
    </row>
    <row r="47" ht="270" customHeight="1">
      <c r="A47" t="inlineStr">
        <is>
          <t>1</t>
        </is>
      </c>
      <c r="B47" t="inlineStr">
        <is>
          <t>Tocasia's Welcome</t>
        </is>
      </c>
      <c r="C47" t="b">
        <v>0</v>
      </c>
      <c r="D47" t="b">
        <v>0</v>
      </c>
      <c r="E47" t="inlineStr"/>
      <c r="F47">
        <f>IMAGE("https://api.scryfall.com/cards/named?exact=Tocasia%27s%20Welcome&amp;format=image&amp;version=normal")</f>
        <v/>
      </c>
      <c r="G47" t="inlineStr"/>
    </row>
    <row r="48" ht="270" customHeight="1">
      <c r="A48" t="inlineStr">
        <is>
          <t>1</t>
        </is>
      </c>
      <c r="B48" t="inlineStr">
        <is>
          <t>Military Intelligence</t>
        </is>
      </c>
      <c r="C48" t="b">
        <v>0</v>
      </c>
      <c r="D48" t="b">
        <v>0</v>
      </c>
      <c r="E48" t="inlineStr"/>
      <c r="F48">
        <f>IMAGE("https://api.scryfall.com/cards/named?exact=Military%20Intelligence&amp;format=image&amp;version=normal")</f>
        <v/>
      </c>
      <c r="G48" t="inlineStr"/>
    </row>
    <row r="49" ht="270" customHeight="1">
      <c r="A49" t="inlineStr">
        <is>
          <t>1</t>
        </is>
      </c>
      <c r="B49" t="inlineStr">
        <is>
          <t>Path to Exile</t>
        </is>
      </c>
      <c r="C49" t="b">
        <v>1</v>
      </c>
      <c r="D49" t="b">
        <v>0</v>
      </c>
      <c r="E49" t="inlineStr"/>
      <c r="F49">
        <f>IMAGE("https://api.scryfall.com/cards/named?exact=Path%20to%20Exile&amp;format=image&amp;version=normal")</f>
        <v/>
      </c>
      <c r="G49" t="inlineStr"/>
    </row>
    <row r="50" ht="270" customHeight="1">
      <c r="A50" t="inlineStr">
        <is>
          <t>1</t>
        </is>
      </c>
      <c r="B50" t="inlineStr">
        <is>
          <t>Airbender's Reversal</t>
        </is>
      </c>
      <c r="C50" t="b">
        <v>1</v>
      </c>
      <c r="D50" t="b">
        <v>0</v>
      </c>
      <c r="E50" t="inlineStr"/>
      <c r="F50">
        <f>IMAGE("https://api.scryfall.com/cards/named?exact=Airbender%27s%20Reversal&amp;format=image&amp;version=normal")</f>
        <v/>
      </c>
      <c r="G50" t="inlineStr"/>
    </row>
    <row r="51" ht="270" customHeight="1">
      <c r="A51" t="inlineStr">
        <is>
          <t>1</t>
        </is>
      </c>
      <c r="B51" t="inlineStr">
        <is>
          <t>Essence Scatter</t>
        </is>
      </c>
      <c r="C51" t="b">
        <v>1</v>
      </c>
      <c r="D51" t="b">
        <v>0</v>
      </c>
      <c r="E51" t="inlineStr"/>
      <c r="F51">
        <f>IMAGE("https://api.scryfall.com/cards/named?exact=Essence%20Scatter&amp;format=image&amp;version=normal")</f>
        <v/>
      </c>
      <c r="G51" t="inlineStr"/>
    </row>
    <row r="52" ht="270" customHeight="1">
      <c r="A52" t="inlineStr">
        <is>
          <t>1</t>
        </is>
      </c>
      <c r="B52" t="inlineStr">
        <is>
          <t>Negate</t>
        </is>
      </c>
      <c r="C52" t="b">
        <v>1</v>
      </c>
      <c r="D52" t="b">
        <v>0</v>
      </c>
      <c r="E52" t="inlineStr"/>
      <c r="F52">
        <f>IMAGE("https://api.scryfall.com/cards/named?exact=Negate&amp;format=image&amp;version=normal")</f>
        <v/>
      </c>
      <c r="G52" t="inlineStr"/>
    </row>
    <row r="53" ht="270" customHeight="1">
      <c r="A53" t="inlineStr">
        <is>
          <t>1</t>
        </is>
      </c>
      <c r="B53" t="inlineStr">
        <is>
          <t>Stroke of Midnight</t>
        </is>
      </c>
      <c r="C53" t="b">
        <v>1</v>
      </c>
      <c r="D53" t="b">
        <v>0</v>
      </c>
      <c r="E53" t="inlineStr"/>
      <c r="F53">
        <f>IMAGE("https://api.scryfall.com/cards/named?exact=Stroke%20of%20Midnight&amp;format=image&amp;version=normal")</f>
        <v/>
      </c>
      <c r="G53" t="inlineStr"/>
    </row>
    <row r="54" ht="270" customHeight="1">
      <c r="A54" t="inlineStr">
        <is>
          <t>1</t>
        </is>
      </c>
      <c r="B54" t="inlineStr">
        <is>
          <t>White Sun's Zenith</t>
        </is>
      </c>
      <c r="C54" t="b">
        <v>1</v>
      </c>
      <c r="D54" t="b">
        <v>0</v>
      </c>
      <c r="E54" t="inlineStr"/>
      <c r="F54">
        <f>IMAGE("https://api.scryfall.com/cards/named?exact=White%20Sun%27s%20Zenith&amp;format=image&amp;version=normal")</f>
        <v/>
      </c>
      <c r="G54" t="inlineStr"/>
    </row>
    <row r="55" ht="270" customHeight="1">
      <c r="A55" t="inlineStr">
        <is>
          <t>1</t>
        </is>
      </c>
      <c r="B55" t="inlineStr">
        <is>
          <t>The Last Ronin's Technique</t>
        </is>
      </c>
      <c r="C55" t="b">
        <v>1</v>
      </c>
      <c r="D55" t="b">
        <v>0</v>
      </c>
      <c r="E55" t="inlineStr"/>
      <c r="F55">
        <f>IMAGE("https://api.scryfall.com/cards/named?exact=The%20Last%20Ronin%27s%20Technique&amp;format=image&amp;version=normal")</f>
        <v/>
      </c>
      <c r="G55" t="inlineStr"/>
    </row>
    <row r="56" ht="270" customHeight="1">
      <c r="A56" t="inlineStr">
        <is>
          <t>1</t>
        </is>
      </c>
      <c r="B56" t="inlineStr">
        <is>
          <t>Generous Gift</t>
        </is>
      </c>
      <c r="C56" t="b">
        <v>0</v>
      </c>
      <c r="D56" t="b">
        <v>0</v>
      </c>
      <c r="E56" t="inlineStr"/>
      <c r="F56">
        <f>IMAGE("https://api.scryfall.com/cards/named?exact=Generous%20Gift&amp;format=image&amp;version=normal")</f>
        <v/>
      </c>
      <c r="G56" t="inlineStr"/>
    </row>
    <row r="57" ht="270" customHeight="1">
      <c r="A57" t="inlineStr">
        <is>
          <t>1</t>
        </is>
      </c>
      <c r="B57" t="inlineStr">
        <is>
          <t>Swords to Plowshares</t>
        </is>
      </c>
      <c r="C57" t="b">
        <v>0</v>
      </c>
      <c r="D57" t="b">
        <v>0</v>
      </c>
      <c r="E57" t="inlineStr"/>
      <c r="F57">
        <f>IMAGE("https://api.scryfall.com/cards/named?exact=Swords%20to%20Plowshares&amp;format=image&amp;version=normal")</f>
        <v/>
      </c>
      <c r="G57" t="inlineStr"/>
    </row>
    <row r="58" ht="270" customHeight="1">
      <c r="A58" t="inlineStr">
        <is>
          <t>1</t>
        </is>
      </c>
      <c r="B58" t="inlineStr">
        <is>
          <t>Path of the Ghosthunter</t>
        </is>
      </c>
      <c r="C58" t="b">
        <v>1</v>
      </c>
      <c r="D58" t="b">
        <v>0</v>
      </c>
      <c r="E58" t="inlineStr"/>
      <c r="F58">
        <f>IMAGE("https://api.scryfall.com/cards/named?exact=Path%20of%20the%20Ghosthunter&amp;format=image&amp;version=normal")</f>
        <v/>
      </c>
      <c r="G58" t="inlineStr"/>
    </row>
    <row r="59" ht="270" customHeight="1">
      <c r="A59" t="inlineStr">
        <is>
          <t>1</t>
        </is>
      </c>
      <c r="B59" t="inlineStr">
        <is>
          <t>The Battle of Bywater</t>
        </is>
      </c>
      <c r="C59" t="b">
        <v>1</v>
      </c>
      <c r="D59" t="b">
        <v>0</v>
      </c>
      <c r="E59" t="inlineStr"/>
      <c r="F59">
        <f>IMAGE("https://api.scryfall.com/cards/named?exact=The%20Battle%20of%20Bywater&amp;format=image&amp;version=normal")</f>
        <v/>
      </c>
      <c r="G59" t="inlineStr"/>
    </row>
    <row r="60" ht="270" customHeight="1">
      <c r="A60" t="inlineStr">
        <is>
          <t>1</t>
        </is>
      </c>
      <c r="B60" t="inlineStr">
        <is>
          <t>Decree of Justice</t>
        </is>
      </c>
      <c r="C60" t="b">
        <v>1</v>
      </c>
      <c r="D60" t="b">
        <v>0</v>
      </c>
      <c r="E60" t="inlineStr"/>
      <c r="F60">
        <f>IMAGE("https://api.scryfall.com/cards/named?exact=Decree%20of%20Justice&amp;format=image&amp;version=normal")</f>
        <v/>
      </c>
      <c r="G60" t="inlineStr"/>
    </row>
    <row r="61" ht="270" customHeight="1">
      <c r="A61" t="inlineStr">
        <is>
          <t>1</t>
        </is>
      </c>
      <c r="B61" t="inlineStr">
        <is>
          <t>Expel the Interlopers</t>
        </is>
      </c>
      <c r="C61" t="b">
        <v>1</v>
      </c>
      <c r="D61" t="b">
        <v>0</v>
      </c>
      <c r="E61" t="inlineStr"/>
      <c r="F61">
        <f>IMAGE("https://api.scryfall.com/cards/named?exact=Expel%20the%20Interlopers&amp;format=image&amp;version=normal")</f>
        <v/>
      </c>
      <c r="G61" t="inlineStr"/>
    </row>
    <row r="62" ht="270" customHeight="1">
      <c r="A62" t="inlineStr">
        <is>
          <t>1</t>
        </is>
      </c>
      <c r="B62" t="inlineStr">
        <is>
          <t>Fell the Mighty</t>
        </is>
      </c>
      <c r="C62" t="b">
        <v>1</v>
      </c>
      <c r="D62" t="b">
        <v>0</v>
      </c>
      <c r="E62" t="inlineStr"/>
      <c r="F62">
        <f>IMAGE("https://api.scryfall.com/cards/named?exact=Fell%20the%20Mighty&amp;format=image&amp;version=normal")</f>
        <v/>
      </c>
      <c r="G62" t="inlineStr"/>
    </row>
    <row r="63" ht="270" customHeight="1">
      <c r="A63" t="inlineStr">
        <is>
          <t>1</t>
        </is>
      </c>
      <c r="B63" t="inlineStr">
        <is>
          <t>Dusk // Dawn</t>
        </is>
      </c>
      <c r="C63" t="b">
        <v>1</v>
      </c>
      <c r="D63" t="b">
        <v>0</v>
      </c>
      <c r="E63" t="inlineStr"/>
      <c r="F63">
        <f>IMAGE("https://api.scryfall.com/cards/named?exact=Dusk%20%2F%2F%20Dawn&amp;format=image&amp;version=normal")</f>
        <v/>
      </c>
      <c r="G63" t="inlineStr"/>
    </row>
    <row r="64" ht="270" customHeight="1">
      <c r="A64" t="inlineStr">
        <is>
          <t>1</t>
        </is>
      </c>
      <c r="B64" t="inlineStr">
        <is>
          <t>Glacial Fortress</t>
        </is>
      </c>
      <c r="C64" t="b">
        <v>1</v>
      </c>
      <c r="D64" t="b">
        <v>0</v>
      </c>
      <c r="E64" t="inlineStr"/>
      <c r="F64">
        <f>IMAGE("https://api.scryfall.com/cards/named?exact=Glacial%20Fortress&amp;format=image&amp;version=normal")</f>
        <v/>
      </c>
      <c r="G64" t="inlineStr"/>
    </row>
    <row r="65" ht="270" customHeight="1">
      <c r="A65" t="inlineStr">
        <is>
          <t>1</t>
        </is>
      </c>
      <c r="B65" t="inlineStr">
        <is>
          <t>Idyllic Beachfront</t>
        </is>
      </c>
      <c r="C65" t="b">
        <v>1</v>
      </c>
      <c r="D65" t="b">
        <v>0</v>
      </c>
      <c r="E65" t="inlineStr"/>
      <c r="F65">
        <f>IMAGE("https://api.scryfall.com/cards/named?exact=Idyllic%20Beachfront&amp;format=image&amp;version=normal")</f>
        <v/>
      </c>
      <c r="G65" t="inlineStr"/>
    </row>
    <row r="66" ht="270" customHeight="1">
      <c r="A66" t="inlineStr">
        <is>
          <t>1</t>
        </is>
      </c>
      <c r="B66" t="inlineStr">
        <is>
          <t>Irrigated Farmland</t>
        </is>
      </c>
      <c r="C66" t="b">
        <v>1</v>
      </c>
      <c r="D66" t="b">
        <v>0</v>
      </c>
      <c r="E66" t="inlineStr"/>
      <c r="F66">
        <f>IMAGE("https://api.scryfall.com/cards/named?exact=Irrigated%20Farmland&amp;format=image&amp;version=normal")</f>
        <v/>
      </c>
      <c r="G66" t="inlineStr"/>
    </row>
    <row r="67" ht="270" customHeight="1">
      <c r="A67" t="inlineStr">
        <is>
          <t>14</t>
        </is>
      </c>
      <c r="B67" t="inlineStr">
        <is>
          <t>Island</t>
        </is>
      </c>
      <c r="C67" t="b">
        <v>1</v>
      </c>
      <c r="D67" t="b">
        <v>0</v>
      </c>
      <c r="E67" t="inlineStr"/>
      <c r="F67">
        <f>IMAGE("https://api.scryfall.com/cards/named?exact=Island&amp;format=image&amp;version=normal")</f>
        <v/>
      </c>
      <c r="G67" t="inlineStr"/>
    </row>
    <row r="68" ht="270" customHeight="1">
      <c r="A68" t="inlineStr">
        <is>
          <t>1</t>
        </is>
      </c>
      <c r="B68" t="inlineStr">
        <is>
          <t>North Pole Gates</t>
        </is>
      </c>
      <c r="C68" t="b">
        <v>1</v>
      </c>
      <c r="D68" t="b">
        <v>0</v>
      </c>
      <c r="E68" t="inlineStr"/>
      <c r="F68">
        <f>IMAGE("https://api.scryfall.com/cards/named?exact=North%20Pole%20Gates&amp;format=image&amp;version=normal")</f>
        <v/>
      </c>
      <c r="G68" t="inlineStr"/>
    </row>
    <row r="69" ht="270" customHeight="1">
      <c r="A69" t="inlineStr">
        <is>
          <t>13</t>
        </is>
      </c>
      <c r="B69" t="inlineStr">
        <is>
          <t>Plains</t>
        </is>
      </c>
      <c r="C69" t="b">
        <v>1</v>
      </c>
      <c r="D69" t="b">
        <v>0</v>
      </c>
      <c r="E69" t="inlineStr"/>
      <c r="F69">
        <f>IMAGE("https://api.scryfall.com/cards/named?exact=Plains&amp;format=image&amp;version=normal")</f>
        <v/>
      </c>
      <c r="G69" t="inlineStr"/>
    </row>
    <row r="70" ht="270" customHeight="1">
      <c r="A70" t="inlineStr">
        <is>
          <t>1</t>
        </is>
      </c>
      <c r="B70" t="inlineStr">
        <is>
          <t>Port Town</t>
        </is>
      </c>
      <c r="C70" t="b">
        <v>1</v>
      </c>
      <c r="D70" t="b">
        <v>0</v>
      </c>
      <c r="E70" t="inlineStr"/>
      <c r="F70">
        <f>IMAGE("https://api.scryfall.com/cards/named?exact=Port%20Town&amp;format=image&amp;version=normal")</f>
        <v/>
      </c>
      <c r="G70" t="inlineStr"/>
    </row>
    <row r="71" ht="270" customHeight="1">
      <c r="A71" t="inlineStr">
        <is>
          <t>1</t>
        </is>
      </c>
      <c r="B71" t="inlineStr">
        <is>
          <t>Prairie Stream</t>
        </is>
      </c>
      <c r="C71" t="b">
        <v>1</v>
      </c>
      <c r="D71" t="b">
        <v>0</v>
      </c>
      <c r="E71" t="inlineStr"/>
      <c r="F71">
        <f>IMAGE("https://api.scryfall.com/cards/named?exact=Prairie%20Stream&amp;format=image&amp;version=normal")</f>
        <v/>
      </c>
      <c r="G71" t="inlineStr"/>
    </row>
    <row r="72" ht="270" customHeight="1">
      <c r="A72" t="inlineStr">
        <is>
          <t>1</t>
        </is>
      </c>
      <c r="B72" t="inlineStr">
        <is>
          <t>Skycloud Expanse</t>
        </is>
      </c>
      <c r="C72" t="b">
        <v>1</v>
      </c>
      <c r="D72" t="b">
        <v>0</v>
      </c>
      <c r="E72" t="inlineStr"/>
      <c r="F72">
        <f>IMAGE("https://api.scryfall.com/cards/named?exact=Skycloud%20Expanse&amp;format=image&amp;version=normal")</f>
        <v/>
      </c>
      <c r="G72" t="inlineStr"/>
    </row>
    <row r="73" ht="270" customHeight="1">
      <c r="A73" t="inlineStr">
        <is>
          <t>1</t>
        </is>
      </c>
      <c r="B73" t="inlineStr">
        <is>
          <t>Temple of Enlightenment</t>
        </is>
      </c>
      <c r="C73" t="b">
        <v>1</v>
      </c>
      <c r="D73" t="b">
        <v>0</v>
      </c>
      <c r="E73" t="inlineStr"/>
      <c r="F73">
        <f>IMAGE("https://api.scryfall.com/cards/named?exact=Temple%20of%20Enlightenment&amp;format=image&amp;version=normal")</f>
        <v/>
      </c>
      <c r="G73" t="inlineStr"/>
    </row>
    <row r="74" ht="270" customHeight="1">
      <c r="A74" t="inlineStr">
        <is>
          <t>1</t>
        </is>
      </c>
      <c r="B74" t="inlineStr">
        <is>
          <t>Thriving Heath</t>
        </is>
      </c>
      <c r="C74" t="b">
        <v>1</v>
      </c>
      <c r="D74" t="b">
        <v>0</v>
      </c>
      <c r="E74" t="inlineStr"/>
      <c r="F74">
        <f>IMAGE("https://api.scryfall.com/cards/named?exact=Thriving%20Heath&amp;format=image&amp;version=normal")</f>
        <v/>
      </c>
      <c r="G74" t="inlineStr"/>
    </row>
    <row r="75" ht="270" customHeight="1">
      <c r="A75" t="inlineStr">
        <is>
          <t>1</t>
        </is>
      </c>
      <c r="B75" t="inlineStr">
        <is>
          <t>Thriving Isle</t>
        </is>
      </c>
      <c r="C75" t="b">
        <v>1</v>
      </c>
      <c r="D75" t="b">
        <v>0</v>
      </c>
      <c r="E75" t="inlineStr"/>
      <c r="F75">
        <f>IMAGE("https://api.scryfall.com/cards/named?exact=Thriving%20Isle&amp;format=image&amp;version=normal")</f>
        <v/>
      </c>
      <c r="G75" t="inlineStr"/>
    </row>
    <row r="76" ht="270" customHeight="1">
      <c r="A76" t="inlineStr">
        <is>
          <t>1</t>
        </is>
      </c>
      <c r="B76" t="inlineStr">
        <is>
          <t>Command Tower</t>
        </is>
      </c>
      <c r="C76" t="b">
        <v>0</v>
      </c>
      <c r="D76" t="b">
        <v>0</v>
      </c>
      <c r="E76" t="inlineStr"/>
      <c r="F76">
        <f>IMAGE("https://api.scryfall.com/cards/named?exact=Command%20Tower&amp;format=image&amp;version=normal")</f>
        <v/>
      </c>
      <c r="G76" t="inlineStr"/>
    </row>
    <row r="77" ht="270" customHeight="1">
      <c r="A77" t="inlineStr">
        <is>
          <t>1</t>
        </is>
      </c>
      <c r="B77" t="inlineStr">
        <is>
          <t>Stalactite Dagger</t>
        </is>
      </c>
      <c r="C77" t="inlineStr"/>
      <c r="D77" t="b">
        <v>1</v>
      </c>
      <c r="E77" t="inlineStr">
        <is>
          <t>Trimmed low-impact equipment and one-shot/low-impact spells to add repeatable draw engines and explosive ramp.</t>
        </is>
      </c>
      <c r="F77">
        <f>IMAGE("https://api.scryfall.com/cards/named?exact=Stalactite%20Dagger&amp;format=image&amp;version=normal")</f>
        <v/>
      </c>
      <c r="G77" t="inlineStr"/>
    </row>
    <row r="78" ht="270" customHeight="1">
      <c r="A78" t="inlineStr">
        <is>
          <t>1</t>
        </is>
      </c>
      <c r="B78" t="inlineStr">
        <is>
          <t>Magitek Armor</t>
        </is>
      </c>
      <c r="C78" t="inlineStr"/>
      <c r="D78" t="b">
        <v>1</v>
      </c>
      <c r="E78" t="inlineStr">
        <is>
          <t>Trimmed low-impact equipment and one-shot/low-impact spells to add repeatable draw engines and explosive ramp.</t>
        </is>
      </c>
      <c r="F78">
        <f>IMAGE("https://api.scryfall.com/cards/named?exact=Magitek%20Armor&amp;format=image&amp;version=normal")</f>
        <v/>
      </c>
      <c r="G78" t="inlineStr"/>
    </row>
    <row r="79" ht="270" customHeight="1">
      <c r="A79" t="inlineStr">
        <is>
          <t>1</t>
        </is>
      </c>
      <c r="B79" t="inlineStr">
        <is>
          <t>Stormbeacon Blade</t>
        </is>
      </c>
      <c r="C79" t="inlineStr"/>
      <c r="D79" t="b">
        <v>1</v>
      </c>
      <c r="E79" t="inlineStr">
        <is>
          <t>Trimmed low-impact equipment and one-shot/low-impact spells to add repeatable draw engines and explosive ramp.</t>
        </is>
      </c>
      <c r="F79">
        <f>IMAGE("https://api.scryfall.com/cards/named?exact=Stormbeacon%20Blade&amp;format=image&amp;version=normal")</f>
        <v/>
      </c>
      <c r="G79" t="inlineStr"/>
    </row>
    <row r="80" ht="270" customHeight="1">
      <c r="A80" t="inlineStr">
        <is>
          <t>1</t>
        </is>
      </c>
      <c r="B80" t="inlineStr">
        <is>
          <t>Guarded Heir</t>
        </is>
      </c>
      <c r="C80" t="inlineStr"/>
      <c r="D80" t="b">
        <v>1</v>
      </c>
      <c r="E80" t="inlineStr">
        <is>
          <t>Trimmed low-impact equipment and one-shot/low-impact spells to add repeatable draw engines and explosive ramp.</t>
        </is>
      </c>
      <c r="F80">
        <f>IMAGE("https://api.scryfall.com/cards/named?exact=Guarded%20Heir&amp;format=image&amp;version=normal")</f>
        <v/>
      </c>
      <c r="G80" t="inlineStr"/>
    </row>
    <row r="81" ht="270" customHeight="1">
      <c r="A81" t="inlineStr">
        <is>
          <t>1</t>
        </is>
      </c>
      <c r="B81" t="inlineStr">
        <is>
          <t>Kyoshi Warriors</t>
        </is>
      </c>
      <c r="C81" t="inlineStr"/>
      <c r="D81" t="b">
        <v>1</v>
      </c>
      <c r="E81" t="inlineStr">
        <is>
          <t>Trimmed low-impact equipment and one-shot/low-impact spells to add repeatable draw engines and explosive ramp.</t>
        </is>
      </c>
      <c r="F81">
        <f>IMAGE("https://api.scryfall.com/cards/named?exact=Kyoshi%20Warriors&amp;format=image&amp;version=normal")</f>
        <v/>
      </c>
      <c r="G81" t="inlineStr"/>
    </row>
    <row r="82" ht="270" customHeight="1">
      <c r="A82" t="inlineStr">
        <is>
          <t>1</t>
        </is>
      </c>
      <c r="B82" t="inlineStr">
        <is>
          <t>Gather the White Lotus</t>
        </is>
      </c>
      <c r="C82" t="inlineStr"/>
      <c r="D82" t="b">
        <v>1</v>
      </c>
      <c r="E82" t="inlineStr">
        <is>
          <t>Trimmed low-impact equipment and one-shot/low-impact spells to add repeatable draw engines and explosive ramp.</t>
        </is>
      </c>
      <c r="F82">
        <f>IMAGE("https://api.scryfall.com/cards/named?exact=Gather%20the%20White%20Lotus&amp;format=image&amp;version=normal")</f>
        <v/>
      </c>
      <c r="G82" t="inlineStr"/>
    </row>
    <row r="83" ht="270" customHeight="1">
      <c r="A83" t="inlineStr">
        <is>
          <t>1</t>
        </is>
      </c>
      <c r="B83" t="inlineStr">
        <is>
          <t>March of the Canonized</t>
        </is>
      </c>
      <c r="C83" t="inlineStr"/>
      <c r="D83" t="b">
        <v>1</v>
      </c>
      <c r="E83" t="inlineStr">
        <is>
          <t>Trimmed low-impact equipment and one-shot/low-impact spells to add repeatable draw engines and explosive ramp.</t>
        </is>
      </c>
      <c r="F83">
        <f>IMAGE("https://api.scryfall.com/cards/named?exact=March%20of%20the%20Canonized&amp;format=image&amp;version=normal")</f>
        <v/>
      </c>
      <c r="G83" t="inlineStr"/>
    </row>
    <row r="84" ht="270" customHeight="1">
      <c r="A84" t="inlineStr">
        <is>
          <t>1</t>
        </is>
      </c>
      <c r="B84" t="inlineStr">
        <is>
          <t>Release the Dogs</t>
        </is>
      </c>
      <c r="C84" t="inlineStr"/>
      <c r="D84" t="b">
        <v>1</v>
      </c>
      <c r="E84" t="inlineStr">
        <is>
          <t>Trimmed low-impact equipment and one-shot/low-impact spells to add repeatable draw engines and explosive ramp.</t>
        </is>
      </c>
      <c r="F84">
        <f>IMAGE("https://api.scryfall.com/cards/named?exact=Release%20the%20Dogs&amp;format=image&amp;version=normal")</f>
        <v/>
      </c>
      <c r="G84" t="inlineStr"/>
    </row>
    <row r="85" ht="270" customHeight="1">
      <c r="A85" t="inlineStr">
        <is>
          <t>1</t>
        </is>
      </c>
      <c r="B85" t="inlineStr">
        <is>
          <t>Prismatic Lens</t>
        </is>
      </c>
      <c r="C85" t="inlineStr"/>
      <c r="D85" t="b">
        <v>1</v>
      </c>
      <c r="E85" t="inlineStr">
        <is>
          <t>Trimmed low-impact equipment and one-shot/low-impact spells to add repeatable draw engines and explosive ramp.</t>
        </is>
      </c>
      <c r="F85">
        <f>IMAGE("https://api.scryfall.com/cards/named?exact=Prismatic%20Lens&amp;format=image&amp;version=normal")</f>
        <v/>
      </c>
      <c r="G85" t="inlineStr"/>
    </row>
    <row r="86" ht="270" customHeight="1">
      <c r="A86" t="inlineStr">
        <is>
          <t>1</t>
        </is>
      </c>
      <c r="B86" t="inlineStr">
        <is>
          <t>Cursed Windbreaker</t>
        </is>
      </c>
      <c r="C86" t="inlineStr"/>
      <c r="D86" t="b">
        <v>1</v>
      </c>
      <c r="E86" t="inlineStr">
        <is>
          <t>Trimmed low-impact equipment and one-shot/low-impact spells to add repeatable draw engines and explosive ramp.</t>
        </is>
      </c>
      <c r="F86">
        <f>IMAGE("https://api.scryfall.com/cards/named?exact=Cursed%20Windbreaker&amp;format=image&amp;version=normal")</f>
        <v/>
      </c>
      <c r="G86" t="inlineStr"/>
    </row>
    <row r="87" ht="270" customHeight="1">
      <c r="A87" t="inlineStr">
        <is>
          <t>1</t>
        </is>
      </c>
      <c r="B87" t="inlineStr">
        <is>
          <t>Fire Nation Warship</t>
        </is>
      </c>
      <c r="C87" t="inlineStr"/>
      <c r="D87" t="b">
        <v>1</v>
      </c>
      <c r="E87" t="inlineStr">
        <is>
          <t>Trimmed low-impact equipment and one-shot/low-impact spells to add repeatable draw engines and explosive ramp.</t>
        </is>
      </c>
      <c r="F87">
        <f>IMAGE("https://api.scryfall.com/cards/named?exact=Fire%20Nation%20Warship&amp;format=image&amp;version=normal")</f>
        <v/>
      </c>
      <c r="G87" t="inlineStr"/>
    </row>
    <row r="88" ht="270" customHeight="1">
      <c r="A88" t="inlineStr">
        <is>
          <t>1</t>
        </is>
      </c>
      <c r="B88" t="inlineStr">
        <is>
          <t>Quick Study</t>
        </is>
      </c>
      <c r="C88" t="inlineStr"/>
      <c r="D88" t="b">
        <v>1</v>
      </c>
      <c r="E88" t="inlineStr">
        <is>
          <t>Trimmed low-impact equipment and one-shot/low-impact spells to add repeatable draw engines and explosive ramp.</t>
        </is>
      </c>
      <c r="F88">
        <f>IMAGE("https://api.scryfall.com/cards/named?exact=Quick%20Study&amp;format=image&amp;version=normal")</f>
        <v/>
      </c>
      <c r="G88" t="inlineStr"/>
    </row>
    <row r="89" ht="270" customHeight="1">
      <c r="A89" t="inlineStr">
        <is>
          <t>1</t>
        </is>
      </c>
      <c r="B89" t="inlineStr">
        <is>
          <t>Refute</t>
        </is>
      </c>
      <c r="C89" t="inlineStr"/>
      <c r="D89" t="b">
        <v>1</v>
      </c>
      <c r="E89" t="inlineStr">
        <is>
          <t>Trimmed low-impact equipment and one-shot/low-impact spells to add repeatable draw engines and explosive ramp.</t>
        </is>
      </c>
      <c r="F89">
        <f>IMAGE("https://api.scryfall.com/cards/named?exact=Refute&amp;format=image&amp;version=normal")</f>
        <v/>
      </c>
      <c r="G89" t="inlineStr"/>
    </row>
    <row r="90" ht="270" customHeight="1">
      <c r="A90" t="inlineStr">
        <is>
          <t>1</t>
        </is>
      </c>
      <c r="B90" t="inlineStr">
        <is>
          <t>The Crystal's Chosen</t>
        </is>
      </c>
      <c r="C90" t="inlineStr"/>
      <c r="D90" t="b">
        <v>1</v>
      </c>
      <c r="E90" t="inlineStr">
        <is>
          <t>Trimmed low-impact equipment and one-shot/low-impact spells to add repeatable draw engines and explosive ramp.</t>
        </is>
      </c>
      <c r="F90">
        <f>IMAGE("https://api.scryfall.com/cards/named?exact=The%20Crystal%27s%20Chosen&amp;format=image&amp;version=normal")</f>
        <v/>
      </c>
      <c r="G90" t="inlineStr"/>
    </row>
    <row r="91" ht="270" customHeight="1">
      <c r="A91" t="inlineStr">
        <is>
          <t>1</t>
        </is>
      </c>
      <c r="B91" t="inlineStr">
        <is>
          <t>Team Avatar</t>
        </is>
      </c>
      <c r="C91" t="inlineStr"/>
      <c r="D91" t="b">
        <v>1</v>
      </c>
      <c r="E91" t="inlineStr">
        <is>
          <t>Trimmed low-impact equipment and one-shot/low-impact spells to add repeatable draw engines and explosive ramp.</t>
        </is>
      </c>
      <c r="F91">
        <f>IMAGE("https://api.scryfall.com/cards/named?exact=Team%20Avatar&amp;format=image&amp;version=normal")</f>
        <v/>
      </c>
      <c r="G91" t="inlineStr"/>
    </row>
  </sheetData>
  <conditionalFormatting sqref="C2:C91">
    <cfRule type="expression" priority="1" dxfId="0">
      <formula>=OR($C2=TRUE,LOWER(TEXT($C2,"@"))="true")</formula>
    </cfRule>
    <cfRule type="expression" priority="2" dxfId="1">
      <formula>=OR($C2=FALSE,LOWER(TEXT($C2,"@"))="false")</formula>
    </cfRule>
  </conditionalFormatting>
  <conditionalFormatting sqref="D2:D91">
    <cfRule type="expression" priority="3" dxfId="2">
      <formula>=OR($D2=TRUE,LOWER(TEXT($D2,"@"))="true")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Conditional formatting rules</t>
        </is>
      </c>
    </row>
    <row r="2">
      <c r="A2" t="inlineStr">
        <is>
          <t>Have Physical Copy: TRUE = green, FALSE = yellow</t>
        </is>
      </c>
    </row>
    <row r="3">
      <c r="A3" t="inlineStr">
        <is>
          <t>Cut: TRUE = red</t>
        </is>
      </c>
    </row>
    <row r="5">
      <c r="A5" t="inlineStr">
        <is>
          <t>Have Physical Copy formula (green)</t>
        </is>
      </c>
    </row>
    <row r="6">
      <c r="A6">
        <f>OR($C2=TRUE,LOWER(TEXT($C2,"@"))="true")</f>
        <v/>
      </c>
    </row>
    <row r="7">
      <c r="A7" t="inlineStr">
        <is>
          <t>Have Physical Copy formula (yellow)</t>
        </is>
      </c>
    </row>
    <row r="8">
      <c r="A8">
        <f>OR($C2=FALSE,LOWER(TEXT($C2,"@"))="false")</f>
        <v/>
      </c>
    </row>
    <row r="9">
      <c r="A9" t="inlineStr">
        <is>
          <t>Cut formula (red)</t>
        </is>
      </c>
    </row>
    <row r="10">
      <c r="A10">
        <f>OR($D2=TRUE,LOWER(TEXT($D2,"@"))="true")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2026-05-26T01:59:48Z</dcterms:created>
  <dcterms:modified xsi:type="dcterms:W3CDTF">2026-05-26T01:59:48Z</dcterms:modified>
</cp:coreProperties>
</file>