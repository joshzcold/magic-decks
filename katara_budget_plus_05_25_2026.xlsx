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k" sheetId="1" state="visible" r:id="rId1"/>
    <sheet name="Formatting"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sz val="14"/>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dxfs count="3">
    <dxf>
      <fill>
        <patternFill patternType="solid">
          <fgColor rgb="00C6EFCE"/>
          <bgColor rgb="00C6EFCE"/>
        </patternFill>
      </fill>
    </dxf>
    <dxf>
      <fill>
        <patternFill patternType="solid">
          <fgColor rgb="00FFF2CC"/>
          <bgColor rgb="00FFF2C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6.86" customWidth="1" min="1" max="1"/>
    <col width="16.86" customWidth="1" min="2" max="2"/>
    <col width="16.86" customWidth="1" min="3" max="3"/>
    <col width="16.86" customWidth="1" min="4" max="4"/>
    <col width="16.86" customWidth="1" min="5" max="5"/>
    <col width="16.86" customWidth="1" min="6" max="6"/>
    <col width="16.86" customWidth="1" min="7" max="7"/>
    <col width="16.86" customWidth="1" min="8" max="8"/>
    <col width="16.86" customWidth="1" min="9" max="9"/>
    <col width="101.16" customWidth="1" min="10" max="10"/>
    <col width="16.86" customWidth="1" min="11" max="11"/>
    <col width="16.86" customWidth="1" min="12" max="12"/>
  </cols>
  <sheetData>
    <row r="1">
      <c r="A1" s="1" t="inlineStr">
        <is>
          <t>Quantity</t>
        </is>
      </c>
      <c r="B1" s="1" t="inlineStr">
        <is>
          <t>Card Title</t>
        </is>
      </c>
      <c r="C1" s="1" t="inlineStr">
        <is>
          <t>Have Physical Copy</t>
        </is>
      </c>
      <c r="D1" s="1" t="inlineStr">
        <is>
          <t>Cut</t>
        </is>
      </c>
      <c r="E1" s="1" t="inlineStr">
        <is>
          <t>Cut Reason</t>
        </is>
      </c>
      <c r="F1" s="1" t="inlineStr">
        <is>
          <t>Deck Rule</t>
        </is>
      </c>
      <c r="G1" s="1" t="inlineStr">
        <is>
          <t>Rarity</t>
        </is>
      </c>
      <c r="H1" s="1" t="inlineStr">
        <is>
          <t>MTG Edition</t>
        </is>
      </c>
      <c r="I1" s="1" t="inlineStr">
        <is>
          <t>Mana Value</t>
        </is>
      </c>
      <c r="J1" s="1" t="inlineStr">
        <is>
          <t>Image</t>
        </is>
      </c>
      <c r="K1" s="1" t="inlineStr">
        <is>
          <t>Price</t>
        </is>
      </c>
      <c r="L1" s="1" t="inlineStr">
        <is>
          <t>Rule Text</t>
        </is>
      </c>
    </row>
    <row r="2" ht="270" customHeight="1">
      <c r="A2" t="inlineStr">
        <is>
          <t>1</t>
        </is>
      </c>
      <c r="B2" t="inlineStr">
        <is>
          <t>Katara, Water Tribe's Hope</t>
        </is>
      </c>
      <c r="C2" t="b">
        <v>1</v>
      </c>
      <c r="D2" t="b">
        <v>0</v>
      </c>
      <c r="E2" t="inlineStr"/>
      <c r="F2" t="inlineStr">
        <is>
          <t>On Theme</t>
        </is>
      </c>
      <c r="G2" t="inlineStr">
        <is>
          <t>Rare</t>
        </is>
      </c>
      <c r="H2" t="inlineStr">
        <is>
          <t>TLA</t>
        </is>
      </c>
      <c r="I2" t="inlineStr">
        <is>
          <t>5</t>
        </is>
      </c>
      <c r="J2">
        <f>IMAGE("https://api.scryfall.com/cards/named?exact=Katara%2C%20Water%20Tribe%27s%20Hope&amp;format=image&amp;version=normal")</f>
        <v/>
      </c>
      <c r="K2" t="inlineStr">
        <is>
          <t>0.34$</t>
        </is>
      </c>
      <c r="L2" t="inlineStr">
        <is>
          <t>Vigilance
When Katara enters, create a 1/1 white Ally creature token.
Waterbend {X}: Creatures you control have base power and toughness X/X until end of turn. X can't be 0. Activate only during your turn. (While paying a waterbend cost, you can tap your artifacts and creatures to help. Each one pays for {1}.)</t>
        </is>
      </c>
    </row>
    <row r="3" ht="270" customHeight="1">
      <c r="A3" t="inlineStr">
        <is>
          <t>1</t>
        </is>
      </c>
      <c r="B3" t="inlineStr">
        <is>
          <t>Curious Farm Animals</t>
        </is>
      </c>
      <c r="C3" t="b">
        <v>1</v>
      </c>
      <c r="D3" t="b">
        <v>1</v>
      </c>
      <c r="E3" t="inlineStr">
        <is>
          <t>Trimmed to 10 interaction slots for more on-theme engines.</t>
        </is>
      </c>
      <c r="F3" t="inlineStr">
        <is>
          <t>Interaction</t>
        </is>
      </c>
      <c r="G3" t="inlineStr">
        <is>
          <t>Common</t>
        </is>
      </c>
      <c r="H3" t="inlineStr">
        <is>
          <t>TLA</t>
        </is>
      </c>
      <c r="I3" t="inlineStr">
        <is>
          <t>1</t>
        </is>
      </c>
      <c r="J3">
        <f>IMAGE("https://api.scryfall.com/cards/named?exact=Curious%20Farm%20Animals&amp;format=image&amp;version=normal")</f>
        <v/>
      </c>
      <c r="K3" t="inlineStr">
        <is>
          <t>0.16$</t>
        </is>
      </c>
      <c r="L3" t="inlineStr">
        <is>
          <t>When this creature dies, you gain 3 life.
{2}, Sacrifice this creature: Destroy up to one target artifact or enchantment.</t>
        </is>
      </c>
    </row>
    <row r="4" ht="270" customHeight="1">
      <c r="A4" t="inlineStr">
        <is>
          <t>1</t>
        </is>
      </c>
      <c r="B4" t="inlineStr">
        <is>
          <t>Inspired Insurgent</t>
        </is>
      </c>
      <c r="C4" t="b">
        <v>1</v>
      </c>
      <c r="D4" t="b">
        <v>1</v>
      </c>
      <c r="E4" t="inlineStr">
        <is>
          <t>Trimmed to 10 interaction slots for more on-theme engines.</t>
        </is>
      </c>
      <c r="F4" t="inlineStr">
        <is>
          <t>Interaction</t>
        </is>
      </c>
      <c r="G4" t="inlineStr">
        <is>
          <t>Common</t>
        </is>
      </c>
      <c r="H4" t="inlineStr">
        <is>
          <t>TLE</t>
        </is>
      </c>
      <c r="I4" t="inlineStr">
        <is>
          <t>2</t>
        </is>
      </c>
      <c r="J4">
        <f>IMAGE("https://api.scryfall.com/cards/named?exact=Inspired%20Insurgent&amp;format=image&amp;version=normal")</f>
        <v/>
      </c>
      <c r="K4" t="inlineStr">
        <is>
          <t>0.12$</t>
        </is>
      </c>
      <c r="L4" t="inlineStr">
        <is>
          <t>{1}, Sacrifice this creature: Destroy target artifact or enchantment.</t>
        </is>
      </c>
    </row>
    <row r="5" ht="270" customHeight="1">
      <c r="A5" t="inlineStr">
        <is>
          <t>1</t>
        </is>
      </c>
      <c r="B5" t="inlineStr">
        <is>
          <t>Invasion Reinforcements</t>
        </is>
      </c>
      <c r="C5" t="b">
        <v>1</v>
      </c>
      <c r="D5" t="b">
        <v>1</v>
      </c>
      <c r="E5" t="inlineStr">
        <is>
          <t>Swapped one-shot token ETB for repeatable token engine.</t>
        </is>
      </c>
      <c r="F5" t="inlineStr">
        <is>
          <t>On Theme</t>
        </is>
      </c>
      <c r="G5" t="inlineStr">
        <is>
          <t>Uncommon</t>
        </is>
      </c>
      <c r="H5" t="inlineStr">
        <is>
          <t>TLA</t>
        </is>
      </c>
      <c r="I5" t="inlineStr">
        <is>
          <t>2</t>
        </is>
      </c>
      <c r="J5">
        <f>IMAGE("https://api.scryfall.com/cards/named?exact=Invasion%20Reinforcements&amp;format=image&amp;version=normal")</f>
        <v/>
      </c>
      <c r="K5" t="inlineStr">
        <is>
          <t>0.25$</t>
        </is>
      </c>
      <c r="L5" t="inlineStr">
        <is>
          <t>Flash
When this creature enters, create a 1/1 white Ally creature token.</t>
        </is>
      </c>
    </row>
    <row r="6" ht="270" customHeight="1">
      <c r="A6" t="inlineStr">
        <is>
          <t>1</t>
        </is>
      </c>
      <c r="B6" t="inlineStr">
        <is>
          <t>Ornithopter of Paradise</t>
        </is>
      </c>
      <c r="C6" t="b">
        <v>1</v>
      </c>
      <c r="D6" t="b">
        <v>0</v>
      </c>
      <c r="E6" t="inlineStr"/>
      <c r="F6" t="inlineStr">
        <is>
          <t>Ramp</t>
        </is>
      </c>
      <c r="G6" t="inlineStr">
        <is>
          <t>Common</t>
        </is>
      </c>
      <c r="H6" t="inlineStr">
        <is>
          <t>CMM</t>
        </is>
      </c>
      <c r="I6" t="inlineStr">
        <is>
          <t>2</t>
        </is>
      </c>
      <c r="J6">
        <f>IMAGE("https://api.scryfall.com/cards/named?exact=Ornithopter%20of%20Paradise&amp;format=image&amp;version=normal")</f>
        <v/>
      </c>
      <c r="K6" t="inlineStr">
        <is>
          <t>0.76$</t>
        </is>
      </c>
      <c r="L6" t="inlineStr">
        <is>
          <t>Flying
{T}: Add one mana of any color.</t>
        </is>
      </c>
    </row>
    <row r="7" ht="270" customHeight="1">
      <c r="A7" t="inlineStr">
        <is>
          <t>1</t>
        </is>
      </c>
      <c r="B7" t="inlineStr">
        <is>
          <t>Resolute Reinforcements</t>
        </is>
      </c>
      <c r="C7" t="b">
        <v>1</v>
      </c>
      <c r="D7" t="b">
        <v>1</v>
      </c>
      <c r="E7" t="inlineStr">
        <is>
          <t>Swapped one-shot token ETB for repeatable token engine.</t>
        </is>
      </c>
      <c r="F7" t="inlineStr">
        <is>
          <t>On Theme</t>
        </is>
      </c>
      <c r="G7" t="inlineStr">
        <is>
          <t>Uncommon</t>
        </is>
      </c>
      <c r="H7" t="inlineStr">
        <is>
          <t>FDN</t>
        </is>
      </c>
      <c r="I7" t="inlineStr">
        <is>
          <t>2</t>
        </is>
      </c>
      <c r="J7">
        <f>IMAGE("https://api.scryfall.com/cards/named?exact=Resolute%20Reinforcements&amp;format=image&amp;version=normal")</f>
        <v/>
      </c>
      <c r="K7" t="inlineStr">
        <is>
          <t>0.25$</t>
        </is>
      </c>
      <c r="L7" t="inlineStr">
        <is>
          <t>Flash (You may cast this spell any time you could cast an instant.)
When this creature enters, create a 1/1 white Soldier creature token.</t>
        </is>
      </c>
    </row>
    <row r="8" ht="270" customHeight="1">
      <c r="A8" t="inlineStr">
        <is>
          <t>1</t>
        </is>
      </c>
      <c r="B8" t="inlineStr">
        <is>
          <t>Clarion Spirit</t>
        </is>
      </c>
      <c r="C8" t="b">
        <v>0</v>
      </c>
      <c r="D8" t="b">
        <v>0</v>
      </c>
      <c r="E8" t="inlineStr"/>
      <c r="F8" t="inlineStr">
        <is>
          <t>On Theme</t>
        </is>
      </c>
      <c r="G8" t="inlineStr">
        <is>
          <t>Uncommon</t>
        </is>
      </c>
      <c r="H8" t="inlineStr">
        <is>
          <t>KHM</t>
        </is>
      </c>
      <c r="I8" t="inlineStr">
        <is>
          <t>2</t>
        </is>
      </c>
      <c r="J8">
        <f>IMAGE("https://api.scryfall.com/cards/named?exact=Clarion%20Spirit&amp;format=image&amp;version=normal")</f>
        <v/>
      </c>
      <c r="K8" t="inlineStr">
        <is>
          <t>0.24$</t>
        </is>
      </c>
      <c r="L8" t="inlineStr">
        <is>
          <t>Whenever you cast your second spell each turn, create a 1/1 white Spirit creature token with flying.</t>
        </is>
      </c>
    </row>
    <row r="9" ht="270" customHeight="1">
      <c r="A9" t="inlineStr">
        <is>
          <t>1</t>
        </is>
      </c>
      <c r="B9" t="inlineStr">
        <is>
          <t>Tetsuko Umezawa, Fugitive</t>
        </is>
      </c>
      <c r="C9" t="b">
        <v>1</v>
      </c>
      <c r="D9" t="b">
        <v>0</v>
      </c>
      <c r="E9" t="inlineStr"/>
      <c r="F9" t="inlineStr">
        <is>
          <t>On Theme</t>
        </is>
      </c>
      <c r="G9" t="inlineStr">
        <is>
          <t>Uncommon</t>
        </is>
      </c>
      <c r="H9" t="inlineStr">
        <is>
          <t>CMM</t>
        </is>
      </c>
      <c r="I9" t="inlineStr">
        <is>
          <t>2</t>
        </is>
      </c>
      <c r="J9">
        <f>IMAGE("https://api.scryfall.com/cards/named?exact=Tetsuko%20Umezawa%2C%20Fugitive&amp;format=image&amp;version=normal")</f>
        <v/>
      </c>
      <c r="K9" t="inlineStr">
        <is>
          <t>0.16$</t>
        </is>
      </c>
      <c r="L9" t="inlineStr">
        <is>
          <t>Creatures you control with power or toughness 1 or less can't be blocked.</t>
        </is>
      </c>
    </row>
    <row r="10" ht="270" customHeight="1">
      <c r="A10" t="inlineStr">
        <is>
          <t>1</t>
        </is>
      </c>
      <c r="B10" t="inlineStr">
        <is>
          <t>Empyrean Eagle</t>
        </is>
      </c>
      <c r="C10" t="b">
        <v>0</v>
      </c>
      <c r="D10" t="b">
        <v>0</v>
      </c>
      <c r="E10" t="inlineStr"/>
      <c r="F10" t="inlineStr">
        <is>
          <t>On Theme</t>
        </is>
      </c>
      <c r="G10" t="inlineStr">
        <is>
          <t>Uncommon</t>
        </is>
      </c>
      <c r="H10" t="inlineStr">
        <is>
          <t>FDN</t>
        </is>
      </c>
      <c r="I10" t="inlineStr">
        <is>
          <t>3</t>
        </is>
      </c>
      <c r="J10">
        <f>IMAGE("https://api.scryfall.com/cards/named?exact=Empyrean%20Eagle&amp;format=image&amp;version=normal")</f>
        <v/>
      </c>
      <c r="K10" t="inlineStr">
        <is>
          <t>0.28$</t>
        </is>
      </c>
      <c r="L10" t="inlineStr">
        <is>
          <t>Flying
Other creatures you control with flying get +1/+1.</t>
        </is>
      </c>
    </row>
    <row r="11" ht="270" customHeight="1">
      <c r="A11" t="inlineStr">
        <is>
          <t>1</t>
        </is>
      </c>
      <c r="B11" t="inlineStr">
        <is>
          <t>Earth Kingdom Jailer</t>
        </is>
      </c>
      <c r="C11" t="b">
        <v>1</v>
      </c>
      <c r="D11" t="b">
        <v>0</v>
      </c>
      <c r="E11" t="inlineStr"/>
      <c r="F11" t="inlineStr">
        <is>
          <t>Interaction</t>
        </is>
      </c>
      <c r="G11" t="inlineStr">
        <is>
          <t>Uncommon</t>
        </is>
      </c>
      <c r="H11" t="inlineStr">
        <is>
          <t>TLA</t>
        </is>
      </c>
      <c r="I11" t="inlineStr">
        <is>
          <t>3</t>
        </is>
      </c>
      <c r="J11">
        <f>IMAGE("https://api.scryfall.com/cards/named?exact=Earth%20Kingdom%20Jailer&amp;format=image&amp;version=normal")</f>
        <v/>
      </c>
      <c r="K11" t="inlineStr">
        <is>
          <t>0.21$</t>
        </is>
      </c>
      <c r="L11" t="inlineStr">
        <is>
          <t>When this creature enters, exile up to one target artifact, creature, or enchantment an opponent controls with mana value 3 or greater until this creature leaves the battlefield.</t>
        </is>
      </c>
    </row>
    <row r="12" ht="270" customHeight="1">
      <c r="A12" t="inlineStr">
        <is>
          <t>1</t>
        </is>
      </c>
      <c r="B12" t="inlineStr">
        <is>
          <t>Appa, Aang's Companion</t>
        </is>
      </c>
      <c r="C12" t="b">
        <v>1</v>
      </c>
      <c r="D12" t="b">
        <v>1</v>
      </c>
      <c r="E12" t="inlineStr">
        <is>
          <t>Trimmed for higher-impact finisher.</t>
        </is>
      </c>
      <c r="F12" t="inlineStr">
        <is>
          <t>On Theme</t>
        </is>
      </c>
      <c r="G12" t="inlineStr">
        <is>
          <t>Uncommon</t>
        </is>
      </c>
      <c r="H12" t="inlineStr">
        <is>
          <t>TLE</t>
        </is>
      </c>
      <c r="I12" t="inlineStr">
        <is>
          <t>4</t>
        </is>
      </c>
      <c r="J12">
        <f>IMAGE("https://api.scryfall.com/cards/named?exact=Appa%2C%20Aang%27s%20Companion&amp;format=image&amp;version=normal")</f>
        <v/>
      </c>
      <c r="K12" t="inlineStr">
        <is>
          <t>0.37$</t>
        </is>
      </c>
      <c r="L12" t="inlineStr">
        <is>
          <t>Flying (This creature can't be blocked except by creatures with flying or reach.)
Whenever Appa attacks, another target attacking creature without flying gains flying until end of turn.</t>
        </is>
      </c>
    </row>
    <row r="13" ht="270" customHeight="1">
      <c r="A13" t="inlineStr">
        <is>
          <t>1</t>
        </is>
      </c>
      <c r="B13" t="inlineStr">
        <is>
          <t>Aven Wind Guide</t>
        </is>
      </c>
      <c r="C13" t="b">
        <v>1</v>
      </c>
      <c r="D13" t="b">
        <v>0</v>
      </c>
      <c r="E13" t="inlineStr"/>
      <c r="F13" t="inlineStr">
        <is>
          <t>On Theme</t>
        </is>
      </c>
      <c r="G13" t="inlineStr">
        <is>
          <t>Uncommon</t>
        </is>
      </c>
      <c r="H13" t="inlineStr">
        <is>
          <t>AKH</t>
        </is>
      </c>
      <c r="I13" t="inlineStr">
        <is>
          <t>4</t>
        </is>
      </c>
      <c r="J13">
        <f>IMAGE("https://api.scryfall.com/cards/named?exact=Aven%20Wind%20Guide&amp;format=image&amp;version=normal")</f>
        <v/>
      </c>
      <c r="K13" t="inlineStr">
        <is>
          <t>0.31$</t>
        </is>
      </c>
      <c r="L13" t="inlineStr">
        <is>
          <t>Flying, vigilance
Creature tokens you control have flying and vigilance.
Embalm {4}{W}{U} ({4}{W}{U}, Exile this card from your graveyard: Create a token that's a copy of it, except it's a white Zombie Bird Warrior with no mana cost. Embalm only as a sorcery.)</t>
        </is>
      </c>
    </row>
    <row r="14" ht="270" customHeight="1">
      <c r="A14" t="inlineStr">
        <is>
          <t>1</t>
        </is>
      </c>
      <c r="B14" t="inlineStr">
        <is>
          <t>Eluge, the Shoreless Sea</t>
        </is>
      </c>
      <c r="C14" t="b">
        <v>1</v>
      </c>
      <c r="D14" t="b">
        <v>0</v>
      </c>
      <c r="E14" t="inlineStr"/>
      <c r="F14" t="inlineStr">
        <is>
          <t>On Theme</t>
        </is>
      </c>
      <c r="G14" t="inlineStr">
        <is>
          <t>Mythic</t>
        </is>
      </c>
      <c r="H14" t="inlineStr">
        <is>
          <t>BLB</t>
        </is>
      </c>
      <c r="I14" t="inlineStr">
        <is>
          <t>4</t>
        </is>
      </c>
      <c r="J14">
        <f>IMAGE("https://api.scryfall.com/cards/named?exact=Eluge%2C%20the%20Shoreless%20Sea&amp;format=image&amp;version=normal")</f>
        <v/>
      </c>
      <c r="K14" t="inlineStr">
        <is>
          <t>4.02$</t>
        </is>
      </c>
      <c r="L14" t="inlineStr">
        <is>
          <t>Eluge's power and toughness are each equal to the number of Islands you control.
Whenever Eluge enters or attacks, put a flood counter on target land. It's an Island in addition to its other types for as long as it has a flood counter on it.
The first instant or sorcery spell you cast each turn costs {U} (or {1}) less to cast for each land you control with a flood counter on it.</t>
        </is>
      </c>
    </row>
    <row r="15" ht="270" customHeight="1">
      <c r="A15" t="inlineStr">
        <is>
          <t>1</t>
        </is>
      </c>
      <c r="B15" t="inlineStr">
        <is>
          <t>Emeria Angel</t>
        </is>
      </c>
      <c r="C15" t="b">
        <v>1</v>
      </c>
      <c r="D15" t="b">
        <v>0</v>
      </c>
      <c r="E15" t="inlineStr"/>
      <c r="F15" t="inlineStr">
        <is>
          <t>On Theme</t>
        </is>
      </c>
      <c r="G15" t="inlineStr">
        <is>
          <t>Rare</t>
        </is>
      </c>
      <c r="H15" t="inlineStr">
        <is>
          <t>TDC</t>
        </is>
      </c>
      <c r="I15" t="inlineStr">
        <is>
          <t>4</t>
        </is>
      </c>
      <c r="J15">
        <f>IMAGE("https://api.scryfall.com/cards/named?exact=Emeria%20Angel&amp;format=image&amp;version=normal")</f>
        <v/>
      </c>
      <c r="K15" t="inlineStr">
        <is>
          <t>0.36$</t>
        </is>
      </c>
      <c r="L15" t="inlineStr">
        <is>
          <t>Flying
 Landfall - Whenever a land you control enters, you may create a 1/1 white Bird creature token with flying.</t>
        </is>
      </c>
    </row>
    <row r="16" ht="270" customHeight="1">
      <c r="A16" t="inlineStr">
        <is>
          <t>1</t>
        </is>
      </c>
      <c r="B16" t="inlineStr">
        <is>
          <t>Goldnight Commander</t>
        </is>
      </c>
      <c r="C16" t="b">
        <v>0</v>
      </c>
      <c r="D16" t="b">
        <v>0</v>
      </c>
      <c r="E16" t="inlineStr"/>
      <c r="F16" t="inlineStr">
        <is>
          <t>On Theme</t>
        </is>
      </c>
      <c r="G16" t="inlineStr">
        <is>
          <t>Uncommon</t>
        </is>
      </c>
      <c r="H16" t="inlineStr">
        <is>
          <t>TDC</t>
        </is>
      </c>
      <c r="I16" t="inlineStr">
        <is>
          <t>4</t>
        </is>
      </c>
      <c r="J16">
        <f>IMAGE("https://api.scryfall.com/cards/named?exact=Goldnight%20Commander&amp;format=image&amp;version=normal")</f>
        <v/>
      </c>
      <c r="K16" t="inlineStr">
        <is>
          <t>0.27$</t>
        </is>
      </c>
      <c r="L16" t="inlineStr">
        <is>
          <t>Whenever another creature you control enters, creatures you control get +1/+1 until end of turn.</t>
        </is>
      </c>
    </row>
    <row r="17" ht="270" customHeight="1">
      <c r="A17" t="inlineStr">
        <is>
          <t>1</t>
        </is>
      </c>
      <c r="B17" t="inlineStr">
        <is>
          <t>Starlight Spectacular</t>
        </is>
      </c>
      <c r="C17" t="b">
        <v>0</v>
      </c>
      <c r="D17" t="b">
        <v>0</v>
      </c>
      <c r="E17" t="inlineStr"/>
      <c r="F17" t="inlineStr">
        <is>
          <t>On Theme</t>
        </is>
      </c>
      <c r="G17" t="inlineStr">
        <is>
          <t>Rare</t>
        </is>
      </c>
      <c r="H17" t="inlineStr">
        <is>
          <t>UNF</t>
        </is>
      </c>
      <c r="I17" t="inlineStr">
        <is>
          <t>4</t>
        </is>
      </c>
      <c r="J17">
        <f>IMAGE("https://api.scryfall.com/cards/named?exact=Starlight%20Spectacular&amp;format=image&amp;version=normal")</f>
        <v/>
      </c>
      <c r="K17" t="inlineStr">
        <is>
          <t>0.49$</t>
        </is>
      </c>
      <c r="L17" t="inlineStr">
        <is>
          <t>Parade! — At the beginning of combat on your turn, choose creatures you control one at a time until each creature you control has been chosen. Each of those creatures gets +1/+1 until end of turn for each creature chosen before it. (Places everyone! The first creature in line gets +0/+0.)</t>
        </is>
      </c>
    </row>
    <row r="18" ht="270" customHeight="1">
      <c r="A18" t="inlineStr">
        <is>
          <t>1</t>
        </is>
      </c>
      <c r="B18" t="inlineStr">
        <is>
          <t>Efficient Construction</t>
        </is>
      </c>
      <c r="C18" t="b">
        <v>0</v>
      </c>
      <c r="D18" t="b">
        <v>0</v>
      </c>
      <c r="E18" t="inlineStr"/>
      <c r="F18" t="inlineStr">
        <is>
          <t>On Theme</t>
        </is>
      </c>
      <c r="G18" t="inlineStr">
        <is>
          <t>Uncommon</t>
        </is>
      </c>
      <c r="H18" t="inlineStr">
        <is>
          <t>CMM</t>
        </is>
      </c>
      <c r="I18" t="inlineStr">
        <is>
          <t>4</t>
        </is>
      </c>
      <c r="J18">
        <f>IMAGE("https://api.scryfall.com/cards/named?exact=Efficient%20Construction&amp;format=image&amp;version=normal")</f>
        <v/>
      </c>
      <c r="K18" t="inlineStr">
        <is>
          <t>0.77$</t>
        </is>
      </c>
      <c r="L18" t="inlineStr">
        <is>
          <t>Whenever you cast an artifact spell, create a 1/1 colorless Thopter artifact creature token with flying.</t>
        </is>
      </c>
    </row>
    <row r="19" ht="270" customHeight="1">
      <c r="A19" t="inlineStr">
        <is>
          <t>1</t>
        </is>
      </c>
      <c r="B19" t="inlineStr">
        <is>
          <t>Thunderclap Wyvern</t>
        </is>
      </c>
      <c r="C19" t="b">
        <v>0</v>
      </c>
      <c r="D19" t="b">
        <v>0</v>
      </c>
      <c r="E19" t="inlineStr"/>
      <c r="F19" t="inlineStr">
        <is>
          <t>On Theme</t>
        </is>
      </c>
      <c r="G19" t="inlineStr">
        <is>
          <t>Uncommon</t>
        </is>
      </c>
      <c r="H19" t="inlineStr">
        <is>
          <t>KHC</t>
        </is>
      </c>
      <c r="I19" t="inlineStr">
        <is>
          <t>4</t>
        </is>
      </c>
      <c r="J19">
        <f>IMAGE("https://api.scryfall.com/cards/named?exact=Thunderclap%20Wyvern&amp;format=image&amp;version=normal")</f>
        <v/>
      </c>
      <c r="K19" t="inlineStr">
        <is>
          <t>0.23$</t>
        </is>
      </c>
      <c r="L19" t="inlineStr">
        <is>
          <t>Flash (You may cast this spell any time you could cast an instant.)
Flying
Other creatures you control with flying get +1/+1.</t>
        </is>
      </c>
    </row>
    <row r="20" ht="270" customHeight="1">
      <c r="A20" t="inlineStr">
        <is>
          <t>1</t>
        </is>
      </c>
      <c r="B20" t="inlineStr">
        <is>
          <t>Faerie Formation</t>
        </is>
      </c>
      <c r="C20" t="b">
        <v>0</v>
      </c>
      <c r="D20" t="b">
        <v>1</v>
      </c>
      <c r="E20" t="inlineStr">
        <is>
          <t>Trimmed for higher-impact finisher.</t>
        </is>
      </c>
      <c r="F20" t="inlineStr">
        <is>
          <t>On Theme</t>
        </is>
      </c>
      <c r="G20" t="inlineStr">
        <is>
          <t>Rare</t>
        </is>
      </c>
      <c r="H20" t="inlineStr">
        <is>
          <t>ELD</t>
        </is>
      </c>
      <c r="I20" t="inlineStr">
        <is>
          <t>5</t>
        </is>
      </c>
      <c r="J20">
        <f>IMAGE("https://api.scryfall.com/cards/named?exact=Faerie%20Formation&amp;format=image&amp;version=normal")</f>
        <v/>
      </c>
      <c r="K20" t="inlineStr">
        <is>
          <t>0.43$</t>
        </is>
      </c>
      <c r="L20" t="inlineStr">
        <is>
          <t>Flying
{3}{U}: Create a 1/1 blue Faerie creature token with flying. Draw a card.</t>
        </is>
      </c>
    </row>
    <row r="21" ht="270" customHeight="1">
      <c r="A21" t="inlineStr">
        <is>
          <t>1</t>
        </is>
      </c>
      <c r="B21" t="inlineStr">
        <is>
          <t>Gravitational Shift</t>
        </is>
      </c>
      <c r="C21" t="b">
        <v>0</v>
      </c>
      <c r="D21" t="b">
        <v>0</v>
      </c>
      <c r="E21" t="inlineStr"/>
      <c r="F21" t="inlineStr">
        <is>
          <t>On Theme</t>
        </is>
      </c>
      <c r="G21" t="inlineStr">
        <is>
          <t>Rare</t>
        </is>
      </c>
      <c r="H21" t="inlineStr">
        <is>
          <t>ROE</t>
        </is>
      </c>
      <c r="I21" t="inlineStr">
        <is>
          <t>5</t>
        </is>
      </c>
      <c r="J21">
        <f>IMAGE("https://api.scryfall.com/cards/named?exact=Gravitational%20Shift&amp;format=image&amp;version=normal")</f>
        <v/>
      </c>
      <c r="K21" t="inlineStr">
        <is>
          <t>1.43$</t>
        </is>
      </c>
      <c r="L21" t="inlineStr">
        <is>
          <t>Creatures with flying get +2/+0.
Creatures without flying get -2/-0.</t>
        </is>
      </c>
    </row>
    <row r="22" ht="270" customHeight="1">
      <c r="A22" t="inlineStr">
        <is>
          <t>1</t>
        </is>
      </c>
      <c r="B22" t="inlineStr">
        <is>
          <t>Skybind</t>
        </is>
      </c>
      <c r="C22" t="b">
        <v>0</v>
      </c>
      <c r="D22" t="b">
        <v>1</v>
      </c>
      <c r="E22" t="inlineStr">
        <is>
          <t>Trimmed for higher-impact finisher.</t>
        </is>
      </c>
      <c r="F22" t="inlineStr">
        <is>
          <t>On Theme</t>
        </is>
      </c>
      <c r="G22" t="inlineStr">
        <is>
          <t>Rare</t>
        </is>
      </c>
      <c r="H22" t="inlineStr">
        <is>
          <t>JOU</t>
        </is>
      </c>
      <c r="I22" t="inlineStr">
        <is>
          <t>5</t>
        </is>
      </c>
      <c r="J22">
        <f>IMAGE("https://api.scryfall.com/cards/named?exact=Skybind&amp;format=image&amp;version=normal")</f>
        <v/>
      </c>
      <c r="K22" t="inlineStr">
        <is>
          <t>0.35$</t>
        </is>
      </c>
      <c r="L22" t="inlineStr">
        <is>
          <t>Constellation — Whenever this enchantment or another enchantment you control enters, exile target nonenchantment permanent. Return that card to the battlefield under its owner's control at the beginning of the next end step.</t>
        </is>
      </c>
    </row>
    <row r="23" ht="270" customHeight="1">
      <c r="A23" t="inlineStr">
        <is>
          <t>1</t>
        </is>
      </c>
      <c r="B23" t="inlineStr">
        <is>
          <t>Favorable Winds</t>
        </is>
      </c>
      <c r="C23" t="b">
        <v>0</v>
      </c>
      <c r="D23" t="b">
        <v>0</v>
      </c>
      <c r="E23" t="inlineStr"/>
      <c r="F23" t="inlineStr">
        <is>
          <t>On Theme</t>
        </is>
      </c>
      <c r="G23" t="inlineStr">
        <is>
          <t>Uncommon</t>
        </is>
      </c>
      <c r="H23" t="inlineStr">
        <is>
          <t>GNT</t>
        </is>
      </c>
      <c r="I23" t="inlineStr">
        <is>
          <t>2</t>
        </is>
      </c>
      <c r="J23">
        <f>IMAGE("https://api.scryfall.com/cards/named?exact=Favorable%20Winds&amp;format=image&amp;version=normal")</f>
        <v/>
      </c>
      <c r="K23" t="inlineStr">
        <is>
          <t>0.58$</t>
        </is>
      </c>
      <c r="L23" t="inlineStr">
        <is>
          <t>Creatures you control with flying get +1/+1.</t>
        </is>
      </c>
    </row>
    <row r="24" ht="270" customHeight="1">
      <c r="A24" t="inlineStr">
        <is>
          <t>1</t>
        </is>
      </c>
      <c r="B24" t="inlineStr">
        <is>
          <t>Keeper of the Accord</t>
        </is>
      </c>
      <c r="C24" t="b">
        <v>1</v>
      </c>
      <c r="D24" t="b">
        <v>0</v>
      </c>
      <c r="E24" t="inlineStr"/>
      <c r="F24" t="inlineStr">
        <is>
          <t>Ramp</t>
        </is>
      </c>
      <c r="G24" t="inlineStr">
        <is>
          <t>Rare</t>
        </is>
      </c>
      <c r="H24" t="inlineStr">
        <is>
          <t>MKC</t>
        </is>
      </c>
      <c r="I24" t="inlineStr">
        <is>
          <t>4</t>
        </is>
      </c>
      <c r="J24">
        <f>IMAGE("https://api.scryfall.com/cards/named?exact=Keeper%20of%20the%20Accord&amp;format=image&amp;version=normal")</f>
        <v/>
      </c>
      <c r="K24" t="inlineStr">
        <is>
          <t>0.43$</t>
        </is>
      </c>
      <c r="L24" t="inlineStr">
        <is>
          <t>At the beginning of each opponent's end step, if that player controls more creatures than you, create a 1/1 white Soldier creature token.
At the beginning of each opponent's end step, if that player controls more lands than you, you may search your library for a basic Plains card, put it onto the battlefield tapped, then shuffle.</t>
        </is>
      </c>
    </row>
    <row r="25" ht="270" customHeight="1">
      <c r="A25" t="inlineStr">
        <is>
          <t>1</t>
        </is>
      </c>
      <c r="B25" t="inlineStr">
        <is>
          <t>Loyal Unicorn</t>
        </is>
      </c>
      <c r="C25" t="b">
        <v>1</v>
      </c>
      <c r="D25" t="b">
        <v>0</v>
      </c>
      <c r="E25" t="inlineStr"/>
      <c r="F25" t="inlineStr">
        <is>
          <t>Interaction</t>
        </is>
      </c>
      <c r="G25" t="inlineStr">
        <is>
          <t>Uncommon</t>
        </is>
      </c>
      <c r="H25" t="inlineStr">
        <is>
          <t>CMM</t>
        </is>
      </c>
      <c r="I25" t="inlineStr">
        <is>
          <t>4</t>
        </is>
      </c>
      <c r="J25">
        <f>IMAGE("https://api.scryfall.com/cards/named?exact=Loyal%20Unicorn&amp;format=image&amp;version=normal")</f>
        <v/>
      </c>
      <c r="K25" t="inlineStr">
        <is>
          <t>0.24$</t>
        </is>
      </c>
      <c r="L25" t="inlineStr">
        <is>
          <t>Vigilance
Lieutenant - At the beginning of combat on your turn, if you control your commander, prevent all combat damage that would be dealt to creatures you control this turn. Other creatures you control gain vigilance until end of turn.</t>
        </is>
      </c>
    </row>
    <row r="26" ht="270" customHeight="1">
      <c r="A26" t="inlineStr">
        <is>
          <t>1</t>
        </is>
      </c>
      <c r="B26" t="inlineStr">
        <is>
          <t>Odric, Lunarch Marshal</t>
        </is>
      </c>
      <c r="C26" t="b">
        <v>1</v>
      </c>
      <c r="D26" t="b">
        <v>0</v>
      </c>
      <c r="E26" t="inlineStr"/>
      <c r="F26" t="inlineStr">
        <is>
          <t>On Theme</t>
        </is>
      </c>
      <c r="G26" t="inlineStr">
        <is>
          <t>Rare</t>
        </is>
      </c>
      <c r="H26" t="inlineStr">
        <is>
          <t>INR</t>
        </is>
      </c>
      <c r="I26" t="inlineStr">
        <is>
          <t>4</t>
        </is>
      </c>
      <c r="J26">
        <f>IMAGE("https://api.scryfall.com/cards/named?exact=Odric%2C%20Lunarch%20Marshal&amp;format=image&amp;version=normal")</f>
        <v/>
      </c>
      <c r="K26" t="inlineStr">
        <is>
          <t>1.12$</t>
        </is>
      </c>
      <c r="L26" t="inlineStr">
        <is>
          <t>At the beginning of each combat, creatures you control gain first strike until end of turn if a creature you control has first strike. The same is true for flying, deathtouch, double strike, haste, hexproof, indestructible, lifelink, menace, reach, skulk, trample, and vigilance.</t>
        </is>
      </c>
    </row>
    <row r="27" ht="270" customHeight="1">
      <c r="A27" t="inlineStr">
        <is>
          <t>1</t>
        </is>
      </c>
      <c r="B27" t="inlineStr">
        <is>
          <t>Appa, Loyal Sky Bison</t>
        </is>
      </c>
      <c r="C27" t="b">
        <v>1</v>
      </c>
      <c r="D27" t="b">
        <v>1</v>
      </c>
      <c r="E27" t="inlineStr">
        <is>
          <t>Trimmed for higher-impact finisher.</t>
        </is>
      </c>
      <c r="F27" t="inlineStr">
        <is>
          <t>On Theme</t>
        </is>
      </c>
      <c r="G27" t="inlineStr">
        <is>
          <t>Uncommon</t>
        </is>
      </c>
      <c r="H27" t="inlineStr">
        <is>
          <t>TLA</t>
        </is>
      </c>
      <c r="I27" t="inlineStr">
        <is>
          <t>6</t>
        </is>
      </c>
      <c r="J27">
        <f>IMAGE("https://api.scryfall.com/cards/named?exact=Appa%2C%20Loyal%20Sky%20Bison&amp;format=image&amp;version=normal")</f>
        <v/>
      </c>
      <c r="K27" t="inlineStr">
        <is>
          <t>0.31$</t>
        </is>
      </c>
      <c r="L27" t="inlineStr">
        <is>
          <t>Flying
Whenever Appa enters or attacks, choose one -
- Target creature you control gains flying until end of turn.
- Airbend another target nonland permanent you control. (Exile it. While it's exiled, its owner may cast it for {2} rather than its mana cost.)</t>
        </is>
      </c>
    </row>
    <row r="28" ht="270" customHeight="1">
      <c r="A28" t="inlineStr">
        <is>
          <t>1</t>
        </is>
      </c>
      <c r="B28" t="inlineStr">
        <is>
          <t>Threefold Thunderhulk</t>
        </is>
      </c>
      <c r="C28" t="b">
        <v>1</v>
      </c>
      <c r="D28" t="b">
        <v>0</v>
      </c>
      <c r="E28" t="inlineStr"/>
      <c r="F28" t="inlineStr">
        <is>
          <t>On Theme</t>
        </is>
      </c>
      <c r="G28" t="inlineStr">
        <is>
          <t>Rare</t>
        </is>
      </c>
      <c r="H28" t="inlineStr">
        <is>
          <t>EOC</t>
        </is>
      </c>
      <c r="I28" t="inlineStr">
        <is>
          <t>7</t>
        </is>
      </c>
      <c r="J28">
        <f>IMAGE("https://api.scryfall.com/cards/named?exact=Threefold%20Thunderhulk&amp;format=image&amp;version=normal")</f>
        <v/>
      </c>
      <c r="K28" t="inlineStr">
        <is>
          <t>0.33$</t>
        </is>
      </c>
      <c r="L28" t="inlineStr">
        <is>
          <t>This creature enters with three +1/+1 counters on it.
Whenever this creature enters or attacks, create a number of 1/1 colorless Gnome artifact creature tokens equal to its power.
{2}, Sacrifice another artifact: Put a +1/+1 counter on this creature.</t>
        </is>
      </c>
    </row>
    <row r="29" ht="270" customHeight="1">
      <c r="A29" t="inlineStr">
        <is>
          <t>1</t>
        </is>
      </c>
      <c r="B29" t="inlineStr">
        <is>
          <t>The Walls of Ba Sing Se</t>
        </is>
      </c>
      <c r="C29" t="b">
        <v>1</v>
      </c>
      <c r="D29" t="b">
        <v>0</v>
      </c>
      <c r="E29" t="inlineStr"/>
      <c r="F29" t="inlineStr">
        <is>
          <t>Interaction</t>
        </is>
      </c>
      <c r="G29" t="inlineStr">
        <is>
          <t>Mythic</t>
        </is>
      </c>
      <c r="H29" t="inlineStr">
        <is>
          <t>TLA</t>
        </is>
      </c>
      <c r="I29" t="inlineStr">
        <is>
          <t>8</t>
        </is>
      </c>
      <c r="J29">
        <f>IMAGE("https://api.scryfall.com/cards/named?exact=The%20Walls%20of%20Ba%20Sing%20Se&amp;format=image&amp;version=normal")</f>
        <v/>
      </c>
      <c r="K29" t="inlineStr">
        <is>
          <t>27.37$</t>
        </is>
      </c>
      <c r="L29" t="inlineStr">
        <is>
          <t>Defender
Other permanents you control have indestructible.</t>
        </is>
      </c>
    </row>
    <row r="30" ht="270" customHeight="1">
      <c r="A30" t="inlineStr">
        <is>
          <t>1</t>
        </is>
      </c>
      <c r="B30" t="inlineStr">
        <is>
          <t>Welcoming Vampire</t>
        </is>
      </c>
      <c r="C30" t="b">
        <v>0</v>
      </c>
      <c r="D30" t="b">
        <v>0</v>
      </c>
      <c r="E30" t="inlineStr"/>
      <c r="F30" t="inlineStr">
        <is>
          <t>Card Advantage</t>
        </is>
      </c>
      <c r="G30" t="inlineStr">
        <is>
          <t>Rare</t>
        </is>
      </c>
      <c r="H30" t="inlineStr">
        <is>
          <t>TDC</t>
        </is>
      </c>
      <c r="I30" t="inlineStr">
        <is>
          <t>3</t>
        </is>
      </c>
      <c r="J30">
        <f>IMAGE("https://api.scryfall.com/cards/named?exact=Welcoming%20Vampire&amp;format=image&amp;version=normal")</f>
        <v/>
      </c>
      <c r="K30" t="inlineStr">
        <is>
          <t>2.81$</t>
        </is>
      </c>
      <c r="L30" t="inlineStr">
        <is>
          <t>Flying
Whenever one or more other creatures you control with power 2 or less enter, draw a card. This ability triggers only once each turn.</t>
        </is>
      </c>
    </row>
    <row r="31" ht="270" customHeight="1">
      <c r="A31" t="inlineStr">
        <is>
          <t>1</t>
        </is>
      </c>
      <c r="B31" t="inlineStr">
        <is>
          <t>Aerial Extortionist</t>
        </is>
      </c>
      <c r="C31" t="b">
        <v>0</v>
      </c>
      <c r="D31" t="b">
        <v>0</v>
      </c>
      <c r="E31" t="inlineStr"/>
      <c r="F31" t="inlineStr">
        <is>
          <t>Card Advantage</t>
        </is>
      </c>
      <c r="G31" t="inlineStr">
        <is>
          <t>Rare</t>
        </is>
      </c>
      <c r="H31" t="inlineStr">
        <is>
          <t>MKC</t>
        </is>
      </c>
      <c r="I31" t="inlineStr">
        <is>
          <t>5</t>
        </is>
      </c>
      <c r="J31">
        <f>IMAGE("https://api.scryfall.com/cards/named?exact=Aerial%20Extortionist&amp;format=image&amp;version=normal")</f>
        <v/>
      </c>
      <c r="K31" t="inlineStr">
        <is>
          <t>4.07$</t>
        </is>
      </c>
      <c r="L31" t="inlineStr">
        <is>
          <t>Flying
Whenever this creature enters or deals combat damage to a player, exile up to one target nonland permanent. For as long as that card remains exiled, its owner may cast it.
Whenever another player casts a spell from anywhere other than their hand, draw a card.</t>
        </is>
      </c>
    </row>
    <row r="32" ht="270" customHeight="1">
      <c r="A32" t="inlineStr">
        <is>
          <t>1</t>
        </is>
      </c>
      <c r="B32" t="inlineStr">
        <is>
          <t>Adeline, Resplendent Cathar</t>
        </is>
      </c>
      <c r="C32" t="b">
        <v>0</v>
      </c>
      <c r="D32" t="b">
        <v>0</v>
      </c>
      <c r="E32" t="inlineStr"/>
      <c r="F32" t="inlineStr">
        <is>
          <t>On Theme</t>
        </is>
      </c>
      <c r="G32" t="inlineStr">
        <is>
          <t>Rare</t>
        </is>
      </c>
      <c r="H32" t="inlineStr">
        <is>
          <t>TDC</t>
        </is>
      </c>
      <c r="I32" t="inlineStr">
        <is>
          <t>3</t>
        </is>
      </c>
      <c r="J32">
        <f>IMAGE("https://api.scryfall.com/cards/named?exact=Adeline%2C%20Resplendent%20Cathar&amp;format=image&amp;version=normal")</f>
        <v/>
      </c>
      <c r="K32" t="inlineStr">
        <is>
          <t>2.68$</t>
        </is>
      </c>
      <c r="L32" t="inlineStr">
        <is>
          <t>Vigilance
Adeline's power is equal to the number of creatures you control.
Whenever you attack, for each opponent, create a 1/1 white Human creature token that's tapped and attacking that player or a planeswalker they control.</t>
        </is>
      </c>
    </row>
    <row r="33" ht="270" customHeight="1">
      <c r="A33" t="inlineStr">
        <is>
          <t>1</t>
        </is>
      </c>
      <c r="B33" t="inlineStr">
        <is>
          <t>Curiosity Crafter</t>
        </is>
      </c>
      <c r="C33" t="b">
        <v>0</v>
      </c>
      <c r="D33" t="b">
        <v>0</v>
      </c>
      <c r="E33" t="inlineStr"/>
      <c r="F33" t="inlineStr">
        <is>
          <t>Card Advantage</t>
        </is>
      </c>
      <c r="G33" t="inlineStr">
        <is>
          <t>Rare</t>
        </is>
      </c>
      <c r="H33" t="inlineStr">
        <is>
          <t>SOC</t>
        </is>
      </c>
      <c r="I33" t="inlineStr">
        <is>
          <t>4</t>
        </is>
      </c>
      <c r="J33">
        <f>IMAGE("https://api.scryfall.com/cards/named?exact=Curiosity%20Crafter&amp;format=image&amp;version=normal")</f>
        <v/>
      </c>
      <c r="K33" t="inlineStr">
        <is>
          <t>0.27$</t>
        </is>
      </c>
      <c r="L33" t="inlineStr">
        <is>
          <t>Flying
You have no maximum hand size.
Whenever a creature token you control deals combat damage to a player, draw a card.</t>
        </is>
      </c>
    </row>
    <row r="34" ht="270" customHeight="1">
      <c r="A34" t="inlineStr">
        <is>
          <t>1</t>
        </is>
      </c>
      <c r="B34" t="inlineStr">
        <is>
          <t>Rumor Gatherer</t>
        </is>
      </c>
      <c r="C34" t="b">
        <v>0</v>
      </c>
      <c r="D34" t="b">
        <v>0</v>
      </c>
      <c r="E34" t="inlineStr"/>
      <c r="F34" t="inlineStr">
        <is>
          <t>Card Advantage</t>
        </is>
      </c>
      <c r="G34" t="inlineStr">
        <is>
          <t>Uncommon</t>
        </is>
      </c>
      <c r="H34" t="inlineStr">
        <is>
          <t>CLB</t>
        </is>
      </c>
      <c r="I34" t="inlineStr">
        <is>
          <t>3</t>
        </is>
      </c>
      <c r="J34">
        <f>IMAGE("https://api.scryfall.com/cards/named?exact=Rumor%20Gatherer&amp;format=image&amp;version=normal")</f>
        <v/>
      </c>
      <c r="K34" t="inlineStr">
        <is>
          <t>0.50$</t>
        </is>
      </c>
      <c r="L34" t="inlineStr">
        <is>
          <t>Alliance — Whenever another creature you control enters, scry 1. If this is the second time this ability has resolved this turn, draw a card instead.</t>
        </is>
      </c>
    </row>
    <row r="35" ht="270" customHeight="1">
      <c r="A35" t="inlineStr">
        <is>
          <t>1</t>
        </is>
      </c>
      <c r="B35" t="inlineStr">
        <is>
          <t>Mentor of the Meek</t>
        </is>
      </c>
      <c r="C35" t="b">
        <v>0</v>
      </c>
      <c r="D35" t="b">
        <v>0</v>
      </c>
      <c r="E35" t="inlineStr"/>
      <c r="F35" t="inlineStr">
        <is>
          <t>Card Advantage</t>
        </is>
      </c>
      <c r="G35" t="inlineStr">
        <is>
          <t>Uncommon</t>
        </is>
      </c>
      <c r="H35" t="inlineStr">
        <is>
          <t>INR</t>
        </is>
      </c>
      <c r="I35" t="inlineStr">
        <is>
          <t>3</t>
        </is>
      </c>
      <c r="J35">
        <f>IMAGE("https://api.scryfall.com/cards/named?exact=Mentor%20of%20the%20Meek&amp;format=image&amp;version=normal")</f>
        <v/>
      </c>
      <c r="K35" t="inlineStr">
        <is>
          <t>0.40$</t>
        </is>
      </c>
      <c r="L35" t="inlineStr">
        <is>
          <t>Whenever another creature you control with power 2 or less enters, you may pay {1}. If you do, draw a card.</t>
        </is>
      </c>
    </row>
    <row r="36" ht="270" customHeight="1">
      <c r="A36" t="inlineStr">
        <is>
          <t>1</t>
        </is>
      </c>
      <c r="B36" t="inlineStr">
        <is>
          <t>Ajani's Chosen</t>
        </is>
      </c>
      <c r="C36" t="b">
        <v>0</v>
      </c>
      <c r="D36" t="b">
        <v>0</v>
      </c>
      <c r="E36" t="inlineStr"/>
      <c r="F36" t="inlineStr">
        <is>
          <t>On Theme</t>
        </is>
      </c>
      <c r="G36" t="inlineStr">
        <is>
          <t>Rare</t>
        </is>
      </c>
      <c r="H36" t="inlineStr">
        <is>
          <t>SOC</t>
        </is>
      </c>
      <c r="I36" t="inlineStr">
        <is>
          <t>4</t>
        </is>
      </c>
      <c r="J36">
        <f>IMAGE("https://api.scryfall.com/cards/named?exact=Ajani%27s%20Chosen&amp;format=image&amp;version=normal")</f>
        <v/>
      </c>
      <c r="K36" t="inlineStr">
        <is>
          <t>0.26$</t>
        </is>
      </c>
      <c r="L36" t="inlineStr">
        <is>
          <t>Whenever an enchantment you control enters, create a 2/2 white Cat creature token. If that enchantment is an Aura, you may attach it to the token.</t>
        </is>
      </c>
    </row>
    <row r="37" ht="270" customHeight="1">
      <c r="A37" t="inlineStr">
        <is>
          <t>1</t>
        </is>
      </c>
      <c r="B37" t="inlineStr">
        <is>
          <t>Spirit Bonds</t>
        </is>
      </c>
      <c r="C37" t="b">
        <v>0</v>
      </c>
      <c r="D37" t="b">
        <v>0</v>
      </c>
      <c r="E37" t="inlineStr"/>
      <c r="F37" t="inlineStr">
        <is>
          <t>On Theme</t>
        </is>
      </c>
      <c r="G37" t="inlineStr">
        <is>
          <t>Rare</t>
        </is>
      </c>
      <c r="H37" t="inlineStr">
        <is>
          <t>M15</t>
        </is>
      </c>
      <c r="I37" t="inlineStr">
        <is>
          <t>2</t>
        </is>
      </c>
      <c r="J37">
        <f>IMAGE("https://api.scryfall.com/cards/named?exact=Spirit%20Bonds&amp;format=image&amp;version=normal")</f>
        <v/>
      </c>
      <c r="K37" t="inlineStr">
        <is>
          <t>0.44$</t>
        </is>
      </c>
      <c r="L37" t="inlineStr">
        <is>
          <t>Whenever a nontoken creature you control enters, you may pay {W}. If you do, create a 1/1 white Spirit creature token with flying.
{1}{W}, Sacrifice a Spirit: Target non-Spirit creature gains indestructible until end of turn. (Damage and effects that say \destroy\" don't destroy it.)"</t>
        </is>
      </c>
    </row>
    <row r="38" ht="270" customHeight="1">
      <c r="A38" t="inlineStr">
        <is>
          <t>1</t>
        </is>
      </c>
      <c r="B38" t="inlineStr">
        <is>
          <t>Everflowing Chalice</t>
        </is>
      </c>
      <c r="C38" t="b">
        <v>1</v>
      </c>
      <c r="D38" t="b">
        <v>0</v>
      </c>
      <c r="E38" t="inlineStr"/>
      <c r="F38" t="inlineStr">
        <is>
          <t>Ramp</t>
        </is>
      </c>
      <c r="G38" t="inlineStr">
        <is>
          <t>Uncommon</t>
        </is>
      </c>
      <c r="H38" t="inlineStr">
        <is>
          <t>EOC</t>
        </is>
      </c>
      <c r="I38" t="inlineStr">
        <is>
          <t>0</t>
        </is>
      </c>
      <c r="J38">
        <f>IMAGE("https://api.scryfall.com/cards/named?exact=Everflowing%20Chalice&amp;format=image&amp;version=normal")</f>
        <v/>
      </c>
      <c r="K38" t="inlineStr">
        <is>
          <t>0.35$</t>
        </is>
      </c>
      <c r="L38" t="inlineStr">
        <is>
          <t>Multikicker {2} (You may pay an additional {2} any number of times as you cast this spell.)
This artifact enters with a charge counter on it for each time it was kicked.
{T}: Add {C} for each charge counter on this artifact.</t>
        </is>
      </c>
    </row>
    <row r="39" ht="270" customHeight="1">
      <c r="A39" t="inlineStr">
        <is>
          <t>1</t>
        </is>
      </c>
      <c r="B39" t="inlineStr">
        <is>
          <t>Skeleton Key</t>
        </is>
      </c>
      <c r="C39" t="b">
        <v>1</v>
      </c>
      <c r="D39" t="b">
        <v>0</v>
      </c>
      <c r="E39" t="inlineStr"/>
      <c r="F39" t="inlineStr">
        <is>
          <t>Card Advantage</t>
        </is>
      </c>
      <c r="G39" t="inlineStr">
        <is>
          <t>Uncommon</t>
        </is>
      </c>
      <c r="H39" t="inlineStr">
        <is>
          <t>SOI</t>
        </is>
      </c>
      <c r="I39" t="inlineStr">
        <is>
          <t>1</t>
        </is>
      </c>
      <c r="J39">
        <f>IMAGE("https://api.scryfall.com/cards/named?exact=Skeleton%20Key&amp;format=image&amp;version=normal")</f>
        <v/>
      </c>
      <c r="K39" t="inlineStr">
        <is>
          <t>0.35$</t>
        </is>
      </c>
      <c r="L39" t="inlineStr">
        <is>
          <t>Equipped creature has skulk. (It can't be blocked by creatures with greater power.)
Whenever equipped creature deals combat damage to a player, you may draw a card. If you do, discard a card.
Equip {2}</t>
        </is>
      </c>
    </row>
    <row r="40" ht="270" customHeight="1">
      <c r="A40" t="inlineStr">
        <is>
          <t>1</t>
        </is>
      </c>
      <c r="B40" t="inlineStr">
        <is>
          <t>Sol Ring</t>
        </is>
      </c>
      <c r="C40" t="b">
        <v>1</v>
      </c>
      <c r="D40" t="b">
        <v>0</v>
      </c>
      <c r="E40" t="inlineStr"/>
      <c r="F40" t="inlineStr">
        <is>
          <t>Ramp</t>
        </is>
      </c>
      <c r="G40" t="inlineStr">
        <is>
          <t>Uncommon</t>
        </is>
      </c>
      <c r="H40" t="inlineStr">
        <is>
          <t>SOC</t>
        </is>
      </c>
      <c r="I40" t="inlineStr">
        <is>
          <t>1</t>
        </is>
      </c>
      <c r="J40">
        <f>IMAGE("https://api.scryfall.com/cards/named?exact=Sol%20Ring&amp;format=image&amp;version=normal")</f>
        <v/>
      </c>
      <c r="K40" t="inlineStr">
        <is>
          <t>1.11$</t>
        </is>
      </c>
      <c r="L40" t="inlineStr">
        <is>
          <t>{T}: Add {C}{C}.</t>
        </is>
      </c>
    </row>
    <row r="41" ht="270" customHeight="1">
      <c r="A41" t="inlineStr">
        <is>
          <t>1</t>
        </is>
      </c>
      <c r="B41" t="inlineStr">
        <is>
          <t>Sai, Master Thopterist</t>
        </is>
      </c>
      <c r="C41" t="b">
        <v>0</v>
      </c>
      <c r="D41" t="b">
        <v>0</v>
      </c>
      <c r="E41" t="inlineStr"/>
      <c r="F41" t="inlineStr">
        <is>
          <t>On Theme</t>
        </is>
      </c>
      <c r="G41" t="inlineStr">
        <is>
          <t>Rare</t>
        </is>
      </c>
      <c r="H41" t="inlineStr">
        <is>
          <t>CMM</t>
        </is>
      </c>
      <c r="I41" t="inlineStr">
        <is>
          <t>3</t>
        </is>
      </c>
      <c r="J41">
        <f>IMAGE("https://api.scryfall.com/cards/named?exact=Sai%2C%20Master%20Thopterist&amp;format=image&amp;version=normal")</f>
        <v/>
      </c>
      <c r="K41" t="inlineStr">
        <is>
          <t>0.47$</t>
        </is>
      </c>
      <c r="L41" t="inlineStr">
        <is>
          <t>Whenever you cast an artifact spell, create a 1/1 colorless Thopter artifact creature token with flying.
{1}{U}, Sacrifice two artifacts: Draw a card.</t>
        </is>
      </c>
    </row>
    <row r="42" ht="270" customHeight="1">
      <c r="A42" t="inlineStr">
        <is>
          <t>1</t>
        </is>
      </c>
      <c r="B42" t="inlineStr">
        <is>
          <t>Wayfarer's Bauble</t>
        </is>
      </c>
      <c r="C42" t="b">
        <v>1</v>
      </c>
      <c r="D42" t="b">
        <v>0</v>
      </c>
      <c r="E42" t="inlineStr"/>
      <c r="F42" t="inlineStr">
        <is>
          <t>Ramp</t>
        </is>
      </c>
      <c r="G42" t="inlineStr">
        <is>
          <t>Common</t>
        </is>
      </c>
      <c r="H42" t="inlineStr">
        <is>
          <t>TDC</t>
        </is>
      </c>
      <c r="I42" t="inlineStr">
        <is>
          <t>1</t>
        </is>
      </c>
      <c r="J42">
        <f>IMAGE("https://api.scryfall.com/cards/named?exact=Wayfarer%27s%20Bauble&amp;format=image&amp;version=normal")</f>
        <v/>
      </c>
      <c r="K42" t="inlineStr">
        <is>
          <t>0.29$</t>
        </is>
      </c>
      <c r="L42" t="inlineStr">
        <is>
          <t>{2}, {T}, Sacrifice this artifact: Search your library for a basic land card, put that card onto the battlefield tapped, then shuffle.</t>
        </is>
      </c>
    </row>
    <row r="43" ht="270" customHeight="1">
      <c r="A43" t="inlineStr">
        <is>
          <t>1</t>
        </is>
      </c>
      <c r="B43" t="inlineStr">
        <is>
          <t>Arcane Signet</t>
        </is>
      </c>
      <c r="C43" t="b">
        <v>1</v>
      </c>
      <c r="D43" t="b">
        <v>0</v>
      </c>
      <c r="E43" t="inlineStr"/>
      <c r="F43" t="inlineStr">
        <is>
          <t>Ramp</t>
        </is>
      </c>
      <c r="G43" t="inlineStr">
        <is>
          <t>Uncommon</t>
        </is>
      </c>
      <c r="H43" t="inlineStr">
        <is>
          <t>SOC</t>
        </is>
      </c>
      <c r="I43" t="inlineStr">
        <is>
          <t>2</t>
        </is>
      </c>
      <c r="J43">
        <f>IMAGE("https://api.scryfall.com/cards/named?exact=Arcane%20Signet&amp;format=image&amp;version=normal")</f>
        <v/>
      </c>
      <c r="K43" t="inlineStr">
        <is>
          <t>0.43$</t>
        </is>
      </c>
      <c r="L43" t="inlineStr">
        <is>
          <t>{T}: Add one mana of any color in your commander's color identity.</t>
        </is>
      </c>
    </row>
    <row r="44" ht="270" customHeight="1">
      <c r="A44" t="inlineStr">
        <is>
          <t>1</t>
        </is>
      </c>
      <c r="B44" t="inlineStr">
        <is>
          <t>Azorius Signet</t>
        </is>
      </c>
      <c r="C44" t="b">
        <v>1</v>
      </c>
      <c r="D44" t="b">
        <v>0</v>
      </c>
      <c r="E44" t="inlineStr"/>
      <c r="F44" t="inlineStr">
        <is>
          <t>Ramp</t>
        </is>
      </c>
      <c r="G44" t="inlineStr">
        <is>
          <t>Uncommon</t>
        </is>
      </c>
      <c r="H44" t="inlineStr">
        <is>
          <t>TDC</t>
        </is>
      </c>
      <c r="I44" t="inlineStr">
        <is>
          <t>2</t>
        </is>
      </c>
      <c r="J44">
        <f>IMAGE("https://api.scryfall.com/cards/named?exact=Azorius%20Signet&amp;format=image&amp;version=normal")</f>
        <v/>
      </c>
      <c r="K44" t="inlineStr">
        <is>
          <t>0.25$</t>
        </is>
      </c>
      <c r="L44" t="inlineStr">
        <is>
          <t>{1}, {T}: Add {W}{U}.</t>
        </is>
      </c>
    </row>
    <row r="45" ht="270" customHeight="1">
      <c r="A45" t="inlineStr">
        <is>
          <t>1</t>
        </is>
      </c>
      <c r="B45" t="inlineStr">
        <is>
          <t>Mind Stone</t>
        </is>
      </c>
      <c r="C45" t="b">
        <v>1</v>
      </c>
      <c r="D45" t="b">
        <v>0</v>
      </c>
      <c r="E45" t="inlineStr"/>
      <c r="F45" t="inlineStr">
        <is>
          <t>Ramp</t>
        </is>
      </c>
      <c r="G45" t="inlineStr">
        <is>
          <t>Uncommon</t>
        </is>
      </c>
      <c r="H45" t="inlineStr">
        <is>
          <t>SOC</t>
        </is>
      </c>
      <c r="I45" t="inlineStr">
        <is>
          <t>2</t>
        </is>
      </c>
      <c r="J45">
        <f>IMAGE("https://api.scryfall.com/cards/named?exact=Mind%20Stone&amp;format=image&amp;version=normal")</f>
        <v/>
      </c>
      <c r="K45" t="inlineStr">
        <is>
          <t>0.33$</t>
        </is>
      </c>
      <c r="L45" t="inlineStr">
        <is>
          <t>{T}: Add {C}.
{1}, {T}, Sacrifice this artifact: Draw a card.</t>
        </is>
      </c>
    </row>
    <row r="46" ht="270" customHeight="1">
      <c r="A46" t="inlineStr">
        <is>
          <t>1</t>
        </is>
      </c>
      <c r="B46" t="inlineStr">
        <is>
          <t>Swiftfoot Boots</t>
        </is>
      </c>
      <c r="C46" t="b">
        <v>1</v>
      </c>
      <c r="D46" t="b">
        <v>0</v>
      </c>
      <c r="E46" t="inlineStr"/>
      <c r="F46" t="inlineStr">
        <is>
          <t>Interaction</t>
        </is>
      </c>
      <c r="G46" t="inlineStr">
        <is>
          <t>Uncommon</t>
        </is>
      </c>
      <c r="H46" t="inlineStr">
        <is>
          <t>TDC</t>
        </is>
      </c>
      <c r="I46" t="inlineStr">
        <is>
          <t>2</t>
        </is>
      </c>
      <c r="J46">
        <f>IMAGE("https://api.scryfall.com/cards/named?exact=Swiftfoot%20Boots&amp;format=image&amp;version=normal")</f>
        <v/>
      </c>
      <c r="K46" t="inlineStr">
        <is>
          <t>2.22$</t>
        </is>
      </c>
      <c r="L46" t="inlineStr">
        <is>
          <t>Equipped creature has hexproof and haste. (It can't be the target of spells or abilities your opponents control. It can attack and {T} no matter when it came under your control.)
Equip {1} ({1}: Attach to target creature you control. Equip only as a sorcery.)</t>
        </is>
      </c>
    </row>
    <row r="47" ht="270" customHeight="1">
      <c r="A47" t="inlineStr">
        <is>
          <t>1</t>
        </is>
      </c>
      <c r="B47" t="inlineStr">
        <is>
          <t>Talisman of Progress</t>
        </is>
      </c>
      <c r="C47" t="b">
        <v>1</v>
      </c>
      <c r="D47" t="b">
        <v>0</v>
      </c>
      <c r="E47" t="inlineStr"/>
      <c r="F47" t="inlineStr">
        <is>
          <t>Ramp</t>
        </is>
      </c>
      <c r="G47" t="inlineStr">
        <is>
          <t>Uncommon</t>
        </is>
      </c>
      <c r="H47" t="inlineStr">
        <is>
          <t>TDC</t>
        </is>
      </c>
      <c r="I47" t="inlineStr">
        <is>
          <t>2</t>
        </is>
      </c>
      <c r="J47">
        <f>IMAGE("https://api.scryfall.com/cards/named?exact=Talisman%20of%20Progress&amp;format=image&amp;version=normal")</f>
        <v/>
      </c>
      <c r="K47" t="inlineStr">
        <is>
          <t>0.37$</t>
        </is>
      </c>
      <c r="L47" t="inlineStr">
        <is>
          <t>{T}: Add {C}.
{T}: Add {W} or {U}. This artifact deals 1 damage to you.</t>
        </is>
      </c>
    </row>
    <row r="48" ht="270" customHeight="1">
      <c r="A48" t="inlineStr">
        <is>
          <t>1</t>
        </is>
      </c>
      <c r="B48" t="inlineStr">
        <is>
          <t>Thought Vessel</t>
        </is>
      </c>
      <c r="C48" t="b">
        <v>1</v>
      </c>
      <c r="D48" t="b">
        <v>0</v>
      </c>
      <c r="E48" t="inlineStr"/>
      <c r="F48" t="inlineStr">
        <is>
          <t>Ramp</t>
        </is>
      </c>
      <c r="G48" t="inlineStr">
        <is>
          <t>Common</t>
        </is>
      </c>
      <c r="H48" t="inlineStr">
        <is>
          <t>DSC</t>
        </is>
      </c>
      <c r="I48" t="inlineStr">
        <is>
          <t>2</t>
        </is>
      </c>
      <c r="J48">
        <f>IMAGE("https://api.scryfall.com/cards/named?exact=Thought%20Vessel&amp;format=image&amp;version=normal")</f>
        <v/>
      </c>
      <c r="K48" t="inlineStr">
        <is>
          <t>2.61$</t>
        </is>
      </c>
      <c r="L48" t="inlineStr">
        <is>
          <t>You have no maximum hand size.
{T}: Add {C}.</t>
        </is>
      </c>
    </row>
    <row r="49" ht="270" customHeight="1">
      <c r="A49" t="inlineStr">
        <is>
          <t>1</t>
        </is>
      </c>
      <c r="B49" t="inlineStr">
        <is>
          <t>Archaeomancer's Map</t>
        </is>
      </c>
      <c r="C49" t="b">
        <v>1</v>
      </c>
      <c r="D49" t="b">
        <v>0</v>
      </c>
      <c r="E49" t="inlineStr"/>
      <c r="F49" t="inlineStr">
        <is>
          <t>Ramp</t>
        </is>
      </c>
      <c r="G49" t="inlineStr">
        <is>
          <t>Rare</t>
        </is>
      </c>
      <c r="H49" t="inlineStr">
        <is>
          <t>SOC</t>
        </is>
      </c>
      <c r="I49" t="inlineStr">
        <is>
          <t>3</t>
        </is>
      </c>
      <c r="J49">
        <f>IMAGE("https://api.scryfall.com/cards/named?exact=Archaeomancer%27s%20Map&amp;format=image&amp;version=normal")</f>
        <v/>
      </c>
      <c r="K49" t="inlineStr">
        <is>
          <t>1.29$</t>
        </is>
      </c>
      <c r="L49" t="inlineStr">
        <is>
          <t>When this artifact enters, search your library for up to two basic Plains cards, reveal them, put them into your hand, then shuffle.
Whenever a land an opponent controls enters, if that player controls more lands than you, you may put a land card from your hand onto the battlefield.</t>
        </is>
      </c>
    </row>
    <row r="50" ht="270" customHeight="1">
      <c r="A50" t="inlineStr">
        <is>
          <t>1</t>
        </is>
      </c>
      <c r="B50" t="inlineStr">
        <is>
          <t>Hedron Archive</t>
        </is>
      </c>
      <c r="C50" t="b">
        <v>1</v>
      </c>
      <c r="D50" t="b">
        <v>0</v>
      </c>
      <c r="E50" t="inlineStr"/>
      <c r="F50" t="inlineStr">
        <is>
          <t>Ramp</t>
        </is>
      </c>
      <c r="G50" t="inlineStr">
        <is>
          <t>Uncommon</t>
        </is>
      </c>
      <c r="H50" t="inlineStr">
        <is>
          <t>FDN</t>
        </is>
      </c>
      <c r="I50" t="inlineStr">
        <is>
          <t>4</t>
        </is>
      </c>
      <c r="J50">
        <f>IMAGE("https://api.scryfall.com/cards/named?exact=Hedron%20Archive&amp;format=image&amp;version=normal")</f>
        <v/>
      </c>
      <c r="K50" t="inlineStr">
        <is>
          <t>0.18$</t>
        </is>
      </c>
      <c r="L50" t="inlineStr">
        <is>
          <t>{T}: Add {C}{C}.
{2}, {T}, Sacrifice this artifact: Draw two cards.</t>
        </is>
      </c>
    </row>
    <row r="51" ht="270" customHeight="1">
      <c r="A51" t="inlineStr">
        <is>
          <t>1</t>
        </is>
      </c>
      <c r="B51" t="inlineStr">
        <is>
          <t>Idol of Oblivion</t>
        </is>
      </c>
      <c r="C51" t="b">
        <v>0</v>
      </c>
      <c r="D51" t="b">
        <v>0</v>
      </c>
      <c r="E51" t="inlineStr"/>
      <c r="F51" t="inlineStr">
        <is>
          <t>Card Advantage</t>
        </is>
      </c>
      <c r="G51" t="inlineStr">
        <is>
          <t>Rare</t>
        </is>
      </c>
      <c r="H51" t="inlineStr">
        <is>
          <t>TDC</t>
        </is>
      </c>
      <c r="I51" t="inlineStr">
        <is>
          <t>2</t>
        </is>
      </c>
      <c r="J51">
        <f>IMAGE("https://api.scryfall.com/cards/named?exact=Idol%20of%20Oblivion&amp;format=image&amp;version=normal")</f>
        <v/>
      </c>
      <c r="K51" t="inlineStr">
        <is>
          <t>0.99$</t>
        </is>
      </c>
      <c r="L51" t="inlineStr">
        <is>
          <t>{T}: Draw a card. Activate only if you created a token this turn.
{8}, {T}, Sacrifice this artifact: Create a 10/10 colorless Eldrazi creature token.</t>
        </is>
      </c>
    </row>
    <row r="52" ht="270" customHeight="1">
      <c r="A52" t="inlineStr">
        <is>
          <t>1</t>
        </is>
      </c>
      <c r="B52" t="inlineStr">
        <is>
          <t>Thran Dynamo</t>
        </is>
      </c>
      <c r="C52" t="b">
        <v>0</v>
      </c>
      <c r="D52" t="b">
        <v>0</v>
      </c>
      <c r="E52" t="inlineStr"/>
      <c r="F52" t="inlineStr">
        <is>
          <t>Ramp</t>
        </is>
      </c>
      <c r="G52" t="inlineStr">
        <is>
          <t>Uncommon</t>
        </is>
      </c>
      <c r="H52" t="inlineStr">
        <is>
          <t>CMM</t>
        </is>
      </c>
      <c r="I52" t="inlineStr">
        <is>
          <t>4</t>
        </is>
      </c>
      <c r="J52">
        <f>IMAGE("https://api.scryfall.com/cards/named?exact=Thran%20Dynamo&amp;format=image&amp;version=normal")</f>
        <v/>
      </c>
      <c r="K52" t="inlineStr">
        <is>
          <t>4.08$</t>
        </is>
      </c>
      <c r="L52" t="inlineStr">
        <is>
          <t>{T}: Add {C}{C}{C}.</t>
        </is>
      </c>
    </row>
    <row r="53" ht="270" customHeight="1">
      <c r="A53" t="inlineStr">
        <is>
          <t>1</t>
        </is>
      </c>
      <c r="B53" t="inlineStr">
        <is>
          <t>Gilded Lotus</t>
        </is>
      </c>
      <c r="C53" t="b">
        <v>0</v>
      </c>
      <c r="D53" t="b">
        <v>0</v>
      </c>
      <c r="E53" t="inlineStr"/>
      <c r="F53" t="inlineStr">
        <is>
          <t>Ramp</t>
        </is>
      </c>
      <c r="G53" t="inlineStr">
        <is>
          <t>Rare</t>
        </is>
      </c>
      <c r="H53" t="inlineStr">
        <is>
          <t>FDN</t>
        </is>
      </c>
      <c r="I53" t="inlineStr">
        <is>
          <t>5</t>
        </is>
      </c>
      <c r="J53">
        <f>IMAGE("https://api.scryfall.com/cards/named?exact=Gilded%20Lotus&amp;format=image&amp;version=normal")</f>
        <v/>
      </c>
      <c r="K53" t="inlineStr">
        <is>
          <t>0.47$</t>
        </is>
      </c>
      <c r="L53" t="inlineStr">
        <is>
          <t>{T}: Add three mana of any one color.</t>
        </is>
      </c>
    </row>
    <row r="54" ht="270" customHeight="1">
      <c r="A54" t="inlineStr">
        <is>
          <t>1</t>
        </is>
      </c>
      <c r="B54" t="inlineStr">
        <is>
          <t>Journey to Nowhere</t>
        </is>
      </c>
      <c r="C54" t="b">
        <v>1</v>
      </c>
      <c r="D54" t="b">
        <v>0</v>
      </c>
      <c r="E54" t="inlineStr"/>
      <c r="F54" t="inlineStr">
        <is>
          <t>Interaction</t>
        </is>
      </c>
      <c r="G54" t="inlineStr">
        <is>
          <t>Common</t>
        </is>
      </c>
      <c r="H54" t="inlineStr">
        <is>
          <t>CMD</t>
        </is>
      </c>
      <c r="I54" t="inlineStr">
        <is>
          <t>2</t>
        </is>
      </c>
      <c r="J54">
        <f>IMAGE("https://api.scryfall.com/cards/named?exact=Journey%20to%20Nowhere&amp;format=image&amp;version=normal")</f>
        <v/>
      </c>
      <c r="K54" t="inlineStr">
        <is>
          <t>0.47$</t>
        </is>
      </c>
      <c r="L54" t="inlineStr">
        <is>
          <t>When this enchantment enters, exile target creature.
When this enchantment leaves the battlefield, return the exiled card to the battlefield under its owner's control.</t>
        </is>
      </c>
    </row>
    <row r="55" ht="270" customHeight="1">
      <c r="A55" t="inlineStr">
        <is>
          <t>1</t>
        </is>
      </c>
      <c r="B55" t="inlineStr">
        <is>
          <t>Uneasy Alliance</t>
        </is>
      </c>
      <c r="C55" t="b">
        <v>1</v>
      </c>
      <c r="D55" t="b">
        <v>1</v>
      </c>
      <c r="E55" t="inlineStr">
        <is>
          <t>Trimmed slower aura removal for repeatable draw engine.</t>
        </is>
      </c>
      <c r="F55" t="inlineStr">
        <is>
          <t>Interaction</t>
        </is>
      </c>
      <c r="G55" t="inlineStr">
        <is>
          <t>Common</t>
        </is>
      </c>
      <c r="H55" t="inlineStr">
        <is>
          <t>TMT</t>
        </is>
      </c>
      <c r="I55" t="inlineStr">
        <is>
          <t>2</t>
        </is>
      </c>
      <c r="J55">
        <f>IMAGE("https://api.scryfall.com/cards/named?exact=Uneasy%20Alliance&amp;format=image&amp;version=normal")</f>
        <v/>
      </c>
      <c r="K55" t="inlineStr">
        <is>
          <t>0.11$</t>
        </is>
      </c>
      <c r="L55" t="inlineStr">
        <is>
          <t>Enchant creature
Enchanted creature can't attack or block.
{5}, Sacrifice this Aura: Exile enchanted creature. You create a 1/1 black Ninja creature token. Activate only as a sorcery.</t>
        </is>
      </c>
    </row>
    <row r="56" ht="270" customHeight="1">
      <c r="A56" t="inlineStr">
        <is>
          <t>1</t>
        </is>
      </c>
      <c r="B56" t="inlineStr">
        <is>
          <t>Banishing Light</t>
        </is>
      </c>
      <c r="C56" t="b">
        <v>1</v>
      </c>
      <c r="D56" t="b">
        <v>0</v>
      </c>
      <c r="E56" t="inlineStr"/>
      <c r="F56" t="inlineStr">
        <is>
          <t>Interaction</t>
        </is>
      </c>
      <c r="G56" t="inlineStr">
        <is>
          <t>Common</t>
        </is>
      </c>
      <c r="H56" t="inlineStr">
        <is>
          <t>EOE</t>
        </is>
      </c>
      <c r="I56" t="inlineStr">
        <is>
          <t>3</t>
        </is>
      </c>
      <c r="J56">
        <f>IMAGE("https://api.scryfall.com/cards/named?exact=Banishing%20Light&amp;format=image&amp;version=normal")</f>
        <v/>
      </c>
      <c r="K56" t="inlineStr">
        <is>
          <t>0.19$</t>
        </is>
      </c>
      <c r="L56" t="inlineStr">
        <is>
          <t>When this enchantment enters, exile target nonland permanent an opponent controls until this enchantment leaves the battlefield.</t>
        </is>
      </c>
    </row>
    <row r="57" ht="270" customHeight="1">
      <c r="A57" t="inlineStr">
        <is>
          <t>1</t>
        </is>
      </c>
      <c r="B57" t="inlineStr">
        <is>
          <t>Coastal Piracy</t>
        </is>
      </c>
      <c r="C57" t="b">
        <v>1</v>
      </c>
      <c r="D57" t="b">
        <v>0</v>
      </c>
      <c r="E57" t="inlineStr"/>
      <c r="F57" t="inlineStr">
        <is>
          <t>Card Advantage</t>
        </is>
      </c>
      <c r="G57" t="inlineStr">
        <is>
          <t>Uncommon</t>
        </is>
      </c>
      <c r="H57" t="inlineStr">
        <is>
          <t>JMP</t>
        </is>
      </c>
      <c r="I57" t="inlineStr">
        <is>
          <t>4</t>
        </is>
      </c>
      <c r="J57">
        <f>IMAGE("https://api.scryfall.com/cards/named?exact=Coastal%20Piracy&amp;format=image&amp;version=normal")</f>
        <v/>
      </c>
      <c r="K57" t="inlineStr">
        <is>
          <t>0.92$</t>
        </is>
      </c>
      <c r="L57" t="inlineStr">
        <is>
          <t>Whenever a creature you control deals combat damage to an opponent, you may draw a card.</t>
        </is>
      </c>
    </row>
    <row r="58" ht="270" customHeight="1">
      <c r="A58" t="inlineStr">
        <is>
          <t>1</t>
        </is>
      </c>
      <c r="B58" t="inlineStr">
        <is>
          <t>Bident of Thassa</t>
        </is>
      </c>
      <c r="C58" t="b">
        <v>0</v>
      </c>
      <c r="D58" t="b">
        <v>0</v>
      </c>
      <c r="E58" t="inlineStr"/>
      <c r="F58" t="inlineStr">
        <is>
          <t>Card Advantage</t>
        </is>
      </c>
      <c r="G58" t="inlineStr">
        <is>
          <t>Rare</t>
        </is>
      </c>
      <c r="H58" t="inlineStr">
        <is>
          <t>LCC</t>
        </is>
      </c>
      <c r="I58" t="inlineStr">
        <is>
          <t>4</t>
        </is>
      </c>
      <c r="J58">
        <f>IMAGE("https://api.scryfall.com/cards/named?exact=Bident%20of%20Thassa&amp;format=image&amp;version=normal")</f>
        <v/>
      </c>
      <c r="K58" t="inlineStr">
        <is>
          <t>0.40$</t>
        </is>
      </c>
      <c r="L58" t="inlineStr">
        <is>
          <t>Whenever a creature you control deals combat damage to a player, you may draw a card.
{1}{U}, {T}: Creatures your opponents control attack this turn if able.</t>
        </is>
      </c>
    </row>
    <row r="59" ht="270" customHeight="1">
      <c r="A59" t="inlineStr">
        <is>
          <t>1</t>
        </is>
      </c>
      <c r="B59" t="inlineStr">
        <is>
          <t>Restricted Office // Lecture Hall</t>
        </is>
      </c>
      <c r="C59" t="b">
        <v>1</v>
      </c>
      <c r="D59" t="b">
        <v>1</v>
      </c>
      <c r="E59" t="inlineStr">
        <is>
          <t>Trimmed excess wrath to add on-theme engines.</t>
        </is>
      </c>
      <c r="F59" t="inlineStr">
        <is>
          <t>Wrath</t>
        </is>
      </c>
      <c r="G59" t="inlineStr">
        <is>
          <t>Rare</t>
        </is>
      </c>
      <c r="H59" t="inlineStr">
        <is>
          <t>DSK</t>
        </is>
      </c>
      <c r="I59" t="inlineStr">
        <is>
          <t>11</t>
        </is>
      </c>
      <c r="J59">
        <f>IMAGE("https://api.scryfall.com/cards/named?exact=Restricted%20Office%20%2F%2F%20Lecture%20Hall&amp;format=image&amp;version=normal")</f>
        <v/>
      </c>
      <c r="K59" t="inlineStr">
        <is>
          <t>0.18$</t>
        </is>
      </c>
      <c r="L59" t="inlineStr">
        <is>
          <t>When you unlock this door, destroy all creatures with power 3 or greater.
(You may cast either half. That door unlocks on the battlefield. As a sorcery, you may pay the mana cost of a locked door to unlock it.) // Other permanents you control have hexproof.
(You may cast either half. That door unlocks on the battlefield. As a sorcery, you may pay the mana cost of a locked door to unlock it.)</t>
        </is>
      </c>
    </row>
    <row r="60" ht="270" customHeight="1">
      <c r="A60" t="inlineStr">
        <is>
          <t>1</t>
        </is>
      </c>
      <c r="B60" t="inlineStr">
        <is>
          <t>Skycat Sovereign</t>
        </is>
      </c>
      <c r="C60" t="b">
        <v>0</v>
      </c>
      <c r="D60" t="b">
        <v>0</v>
      </c>
      <c r="E60" t="inlineStr"/>
      <c r="F60" t="inlineStr">
        <is>
          <t>On Theme</t>
        </is>
      </c>
      <c r="G60" t="inlineStr">
        <is>
          <t>Rare</t>
        </is>
      </c>
      <c r="H60" t="inlineStr">
        <is>
          <t>IKO</t>
        </is>
      </c>
      <c r="I60" t="inlineStr">
        <is>
          <t>2</t>
        </is>
      </c>
      <c r="J60">
        <f>IMAGE("https://api.scryfall.com/cards/named?exact=Skycat%20Sovereign&amp;format=image&amp;version=normal")</f>
        <v/>
      </c>
      <c r="K60" t="inlineStr">
        <is>
          <t>0.34$</t>
        </is>
      </c>
      <c r="L60" t="inlineStr">
        <is>
          <t>Flying
This creature gets +1/+1 for each other creature you control with flying.
{2}{W}{U}: Create a 1/1 white Cat Bird creature token with flying.</t>
        </is>
      </c>
    </row>
    <row r="61" ht="270" customHeight="1">
      <c r="A61" t="inlineStr">
        <is>
          <t>1</t>
        </is>
      </c>
      <c r="B61" t="inlineStr">
        <is>
          <t>Reconnaissance Mission</t>
        </is>
      </c>
      <c r="C61" t="b">
        <v>0</v>
      </c>
      <c r="D61" t="b">
        <v>0</v>
      </c>
      <c r="E61" t="inlineStr"/>
      <c r="F61" t="inlineStr">
        <is>
          <t>Card Advantage</t>
        </is>
      </c>
      <c r="G61" t="inlineStr">
        <is>
          <t>Uncommon</t>
        </is>
      </c>
      <c r="H61" t="inlineStr">
        <is>
          <t>VOC</t>
        </is>
      </c>
      <c r="I61" t="inlineStr">
        <is>
          <t>4</t>
        </is>
      </c>
      <c r="J61">
        <f>IMAGE("https://api.scryfall.com/cards/named?exact=Reconnaissance%20Mission&amp;format=image&amp;version=normal")</f>
        <v/>
      </c>
      <c r="K61" t="inlineStr">
        <is>
          <t>1.50$</t>
        </is>
      </c>
      <c r="L61" t="inlineStr">
        <is>
          <t>Whenever a creature you control deals combat damage to a player, you may draw a card.
Cycling {2} ({2}, Discard this card: Draw a card.)</t>
        </is>
      </c>
    </row>
    <row r="62" ht="270" customHeight="1">
      <c r="A62" t="inlineStr">
        <is>
          <t>1</t>
        </is>
      </c>
      <c r="B62" t="inlineStr">
        <is>
          <t>Tocasia's Welcome</t>
        </is>
      </c>
      <c r="C62" t="b">
        <v>0</v>
      </c>
      <c r="D62" t="b">
        <v>0</v>
      </c>
      <c r="E62" t="inlineStr"/>
      <c r="F62" t="inlineStr">
        <is>
          <t>Card Advantage</t>
        </is>
      </c>
      <c r="G62" t="inlineStr">
        <is>
          <t>Rare</t>
        </is>
      </c>
      <c r="H62" t="inlineStr">
        <is>
          <t>SOC</t>
        </is>
      </c>
      <c r="I62" t="inlineStr">
        <is>
          <t>3</t>
        </is>
      </c>
      <c r="J62">
        <f>IMAGE("https://api.scryfall.com/cards/named?exact=Tocasia%27s%20Welcome&amp;format=image&amp;version=normal")</f>
        <v/>
      </c>
      <c r="K62" t="inlineStr">
        <is>
          <t>0.58$</t>
        </is>
      </c>
      <c r="L62" t="inlineStr">
        <is>
          <t>Whenever one or more creatures you control with mana value 3 or less enter, draw a card. This ability triggers only once each turn.</t>
        </is>
      </c>
    </row>
    <row r="63" ht="270" customHeight="1">
      <c r="A63" t="inlineStr">
        <is>
          <t>1</t>
        </is>
      </c>
      <c r="B63" t="inlineStr">
        <is>
          <t>Military Intelligence</t>
        </is>
      </c>
      <c r="C63" t="b">
        <v>0</v>
      </c>
      <c r="D63" t="b">
        <v>0</v>
      </c>
      <c r="E63" t="inlineStr"/>
      <c r="F63" t="inlineStr">
        <is>
          <t>Card Advantage</t>
        </is>
      </c>
      <c r="G63" t="inlineStr">
        <is>
          <t>Uncommon</t>
        </is>
      </c>
      <c r="H63" t="inlineStr">
        <is>
          <t>ZNC</t>
        </is>
      </c>
      <c r="I63" t="inlineStr">
        <is>
          <t>2</t>
        </is>
      </c>
      <c r="J63">
        <f>IMAGE("https://api.scryfall.com/cards/named?exact=Military%20Intelligence&amp;format=image&amp;version=normal")</f>
        <v/>
      </c>
      <c r="K63" t="inlineStr">
        <is>
          <t>0.36$</t>
        </is>
      </c>
      <c r="L63" t="inlineStr">
        <is>
          <t>Whenever you attack with two or more creatures, draw a card.</t>
        </is>
      </c>
    </row>
    <row r="64" ht="270" customHeight="1">
      <c r="A64" t="inlineStr">
        <is>
          <t>1</t>
        </is>
      </c>
      <c r="B64" t="inlineStr">
        <is>
          <t>Path to Exile</t>
        </is>
      </c>
      <c r="C64" t="b">
        <v>1</v>
      </c>
      <c r="D64" t="b">
        <v>0</v>
      </c>
      <c r="E64" t="inlineStr"/>
      <c r="F64" t="inlineStr">
        <is>
          <t>Interaction</t>
        </is>
      </c>
      <c r="G64" t="inlineStr">
        <is>
          <t>Uncommon</t>
        </is>
      </c>
      <c r="H64" t="inlineStr">
        <is>
          <t>SOC</t>
        </is>
      </c>
      <c r="I64" t="inlineStr">
        <is>
          <t>1</t>
        </is>
      </c>
      <c r="J64">
        <f>IMAGE("https://api.scryfall.com/cards/named?exact=Path%20to%20Exile&amp;format=image&amp;version=normal")</f>
        <v/>
      </c>
      <c r="K64" t="inlineStr">
        <is>
          <t>0.99$</t>
        </is>
      </c>
      <c r="L64" t="inlineStr">
        <is>
          <t>Exile target creature. Its controller may search their library for a basic land card, put that card onto the battlefield tapped, then shuffle.</t>
        </is>
      </c>
    </row>
    <row r="65" ht="270" customHeight="1">
      <c r="A65" t="inlineStr">
        <is>
          <t>1</t>
        </is>
      </c>
      <c r="B65" t="inlineStr">
        <is>
          <t>Airbender's Reversal</t>
        </is>
      </c>
      <c r="C65" t="b">
        <v>1</v>
      </c>
      <c r="D65" t="b">
        <v>1</v>
      </c>
      <c r="E65" t="inlineStr">
        <is>
          <t>Trimmed to 10 interaction slots for more on-theme engines.</t>
        </is>
      </c>
      <c r="F65" t="inlineStr">
        <is>
          <t>Interaction</t>
        </is>
      </c>
      <c r="G65" t="inlineStr">
        <is>
          <t>Uncommon</t>
        </is>
      </c>
      <c r="H65" t="inlineStr">
        <is>
          <t>TLA</t>
        </is>
      </c>
      <c r="I65" t="inlineStr">
        <is>
          <t>2</t>
        </is>
      </c>
      <c r="J65">
        <f>IMAGE("https://api.scryfall.com/cards/named?exact=Airbender%27s%20Reversal&amp;format=image&amp;version=normal")</f>
        <v/>
      </c>
      <c r="K65" t="inlineStr">
        <is>
          <t>0.26$</t>
        </is>
      </c>
      <c r="L65" t="inlineStr">
        <is>
          <t>Choose one -
- Destroy target attacking creature.
- Airbend target creature you control. (Exile it. While it's exiled, its owner may cast it for {2} rather than its mana cost.)</t>
        </is>
      </c>
    </row>
    <row r="66" ht="270" customHeight="1">
      <c r="A66" t="inlineStr">
        <is>
          <t>1</t>
        </is>
      </c>
      <c r="B66" t="inlineStr">
        <is>
          <t>Essence Scatter</t>
        </is>
      </c>
      <c r="C66" t="b">
        <v>1</v>
      </c>
      <c r="D66" t="b">
        <v>1</v>
      </c>
      <c r="E66" t="inlineStr">
        <is>
          <t>Trimmed to 10 interaction slots for more on-theme engines.</t>
        </is>
      </c>
      <c r="F66" t="inlineStr">
        <is>
          <t>Interaction</t>
        </is>
      </c>
      <c r="G66" t="inlineStr">
        <is>
          <t>Common</t>
        </is>
      </c>
      <c r="H66" t="inlineStr">
        <is>
          <t>SOS</t>
        </is>
      </c>
      <c r="I66" t="inlineStr">
        <is>
          <t>2</t>
        </is>
      </c>
      <c r="J66">
        <f>IMAGE("https://api.scryfall.com/cards/named?exact=Essence%20Scatter&amp;format=image&amp;version=normal")</f>
        <v/>
      </c>
      <c r="K66" t="inlineStr">
        <is>
          <t>0.20$</t>
        </is>
      </c>
      <c r="L66" t="inlineStr">
        <is>
          <t>Counter target creature spell.</t>
        </is>
      </c>
    </row>
    <row r="67" ht="270" customHeight="1">
      <c r="A67" t="inlineStr">
        <is>
          <t>1</t>
        </is>
      </c>
      <c r="B67" t="inlineStr">
        <is>
          <t>Negate</t>
        </is>
      </c>
      <c r="C67" t="b">
        <v>1</v>
      </c>
      <c r="D67" t="b">
        <v>1</v>
      </c>
      <c r="E67" t="inlineStr">
        <is>
          <t>Trimmed to 10 interaction slots for more on-theme engines.</t>
        </is>
      </c>
      <c r="F67" t="inlineStr">
        <is>
          <t>Interaction</t>
        </is>
      </c>
      <c r="G67" t="inlineStr">
        <is>
          <t>Common</t>
        </is>
      </c>
      <c r="H67" t="inlineStr">
        <is>
          <t>TMT</t>
        </is>
      </c>
      <c r="I67" t="inlineStr">
        <is>
          <t>2</t>
        </is>
      </c>
      <c r="J67">
        <f>IMAGE("https://api.scryfall.com/cards/named?exact=Negate&amp;format=image&amp;version=normal")</f>
        <v/>
      </c>
      <c r="K67" t="inlineStr">
        <is>
          <t>0.27$</t>
        </is>
      </c>
      <c r="L67" t="inlineStr">
        <is>
          <t>Counter target noncreature spell.</t>
        </is>
      </c>
    </row>
    <row r="68" ht="270" customHeight="1">
      <c r="A68" t="inlineStr">
        <is>
          <t>1</t>
        </is>
      </c>
      <c r="B68" t="inlineStr">
        <is>
          <t>Stroke of Midnight</t>
        </is>
      </c>
      <c r="C68" t="b">
        <v>1</v>
      </c>
      <c r="D68" t="b">
        <v>0</v>
      </c>
      <c r="E68" t="inlineStr"/>
      <c r="F68" t="inlineStr">
        <is>
          <t>Interaction</t>
        </is>
      </c>
      <c r="G68" t="inlineStr">
        <is>
          <t>Uncommon</t>
        </is>
      </c>
      <c r="H68" t="inlineStr">
        <is>
          <t>TDC</t>
        </is>
      </c>
      <c r="I68" t="inlineStr">
        <is>
          <t>3</t>
        </is>
      </c>
      <c r="J68">
        <f>IMAGE("https://api.scryfall.com/cards/named?exact=Stroke%20of%20Midnight&amp;format=image&amp;version=normal")</f>
        <v/>
      </c>
      <c r="K68" t="inlineStr">
        <is>
          <t>0.34$</t>
        </is>
      </c>
      <c r="L68" t="inlineStr">
        <is>
          <t>Destroy target nonland permanent. Its controller creates a 1/1 white Human creature token.</t>
        </is>
      </c>
    </row>
    <row r="69" ht="270" customHeight="1">
      <c r="A69" t="inlineStr">
        <is>
          <t>1</t>
        </is>
      </c>
      <c r="B69" t="inlineStr">
        <is>
          <t>White Sun's Zenith</t>
        </is>
      </c>
      <c r="C69" t="b">
        <v>1</v>
      </c>
      <c r="D69" t="b">
        <v>0</v>
      </c>
      <c r="E69" t="inlineStr"/>
      <c r="F69" t="inlineStr">
        <is>
          <t>On Theme</t>
        </is>
      </c>
      <c r="G69" t="inlineStr">
        <is>
          <t>Rare</t>
        </is>
      </c>
      <c r="H69" t="inlineStr">
        <is>
          <t>CMR</t>
        </is>
      </c>
      <c r="I69" t="inlineStr">
        <is>
          <t>3</t>
        </is>
      </c>
      <c r="J69">
        <f>IMAGE("https://api.scryfall.com/cards/named?exact=White%20Sun%27s%20Zenith&amp;format=image&amp;version=normal")</f>
        <v/>
      </c>
      <c r="K69" t="inlineStr">
        <is>
          <t>0.32$</t>
        </is>
      </c>
      <c r="L69" t="inlineStr">
        <is>
          <t>Create X 2/2 white Cat creature tokens. Shuffle White Sun's Zenith into its owner's library.</t>
        </is>
      </c>
    </row>
    <row r="70" ht="270" customHeight="1">
      <c r="A70" t="inlineStr">
        <is>
          <t>1</t>
        </is>
      </c>
      <c r="B70" t="inlineStr">
        <is>
          <t>Entreat the Angels</t>
        </is>
      </c>
      <c r="C70" t="b">
        <v>0</v>
      </c>
      <c r="D70" t="b">
        <v>0</v>
      </c>
      <c r="E70" t="inlineStr"/>
      <c r="F70" t="inlineStr">
        <is>
          <t>On Theme</t>
        </is>
      </c>
      <c r="G70" t="inlineStr">
        <is>
          <t>Mythic</t>
        </is>
      </c>
      <c r="H70" t="inlineStr">
        <is>
          <t>DSC</t>
        </is>
      </c>
      <c r="I70" t="inlineStr">
        <is>
          <t>3</t>
        </is>
      </c>
      <c r="J70">
        <f>IMAGE("https://api.scryfall.com/cards/named?exact=Entreat%20the%20Angels&amp;format=image&amp;version=normal")</f>
        <v/>
      </c>
      <c r="K70" t="inlineStr">
        <is>
          <t>0.38$</t>
        </is>
      </c>
      <c r="L70" t="inlineStr">
        <is>
          <t>Create X 4/4 white Angel creature tokens with flying.
Miracle {X}{W}{W} (You may cast this card for its miracle cost when you draw it if it's the first card you drew this turn.)</t>
        </is>
      </c>
    </row>
    <row r="71" ht="270" customHeight="1">
      <c r="A71" t="inlineStr">
        <is>
          <t>1</t>
        </is>
      </c>
      <c r="B71" t="inlineStr">
        <is>
          <t>The Last Ronin's Technique</t>
        </is>
      </c>
      <c r="C71" t="b">
        <v>1</v>
      </c>
      <c r="D71" t="b">
        <v>1</v>
      </c>
      <c r="E71" t="inlineStr">
        <is>
          <t>Trimmed one-shot token burst for repeatable draw engine.</t>
        </is>
      </c>
      <c r="F71" t="inlineStr">
        <is>
          <t>On Theme</t>
        </is>
      </c>
      <c r="G71" t="inlineStr">
        <is>
          <t>Uncommon</t>
        </is>
      </c>
      <c r="H71" t="inlineStr">
        <is>
          <t>TMT</t>
        </is>
      </c>
      <c r="I71" t="inlineStr">
        <is>
          <t>4</t>
        </is>
      </c>
      <c r="J71">
        <f>IMAGE("https://api.scryfall.com/cards/named?exact=The%20Last%20Ronin%27s%20Technique&amp;format=image&amp;version=normal")</f>
        <v/>
      </c>
      <c r="K71" t="inlineStr">
        <is>
          <t>0.25$</t>
        </is>
      </c>
      <c r="L71" t="inlineStr">
        <is>
          <t>Sneak {1}{W} (You may cast this spell for {1}{W} if you also return an unblocked attacker you control to hand during the declare blockers step.)
Create three 1/1 white Ninja Turtle Spirit creature tokens. If this spell's sneak cost was paid, they enter tapped and attacking.</t>
        </is>
      </c>
    </row>
    <row r="72" ht="270" customHeight="1">
      <c r="A72" t="inlineStr">
        <is>
          <t>1</t>
        </is>
      </c>
      <c r="B72" t="inlineStr">
        <is>
          <t>Generous Gift</t>
        </is>
      </c>
      <c r="C72" t="b">
        <v>0</v>
      </c>
      <c r="D72" t="b">
        <v>0</v>
      </c>
      <c r="E72" t="inlineStr"/>
      <c r="F72" t="inlineStr">
        <is>
          <t>Interaction</t>
        </is>
      </c>
      <c r="G72" t="inlineStr">
        <is>
          <t>Uncommon</t>
        </is>
      </c>
      <c r="H72" t="inlineStr">
        <is>
          <t>LCC</t>
        </is>
      </c>
      <c r="I72" t="inlineStr">
        <is>
          <t>3</t>
        </is>
      </c>
      <c r="J72">
        <f>IMAGE("https://api.scryfall.com/cards/named?exact=Generous%20Gift&amp;format=image&amp;version=normal")</f>
        <v/>
      </c>
      <c r="K72" t="inlineStr">
        <is>
          <t>1.62$</t>
        </is>
      </c>
      <c r="L72" t="inlineStr">
        <is>
          <t>Destroy target permanent. Its controller creates a 3/3 green Elephant creature token.</t>
        </is>
      </c>
    </row>
    <row r="73" ht="270" customHeight="1">
      <c r="A73" t="inlineStr">
        <is>
          <t>1</t>
        </is>
      </c>
      <c r="B73" t="inlineStr">
        <is>
          <t>Swords to Plowshares</t>
        </is>
      </c>
      <c r="C73" t="b">
        <v>0</v>
      </c>
      <c r="D73" t="b">
        <v>0</v>
      </c>
      <c r="E73" t="inlineStr"/>
      <c r="F73" t="inlineStr">
        <is>
          <t>Interaction</t>
        </is>
      </c>
      <c r="G73" t="inlineStr">
        <is>
          <t>Uncommon</t>
        </is>
      </c>
      <c r="H73" t="inlineStr">
        <is>
          <t>SOC</t>
        </is>
      </c>
      <c r="I73" t="inlineStr">
        <is>
          <t>1</t>
        </is>
      </c>
      <c r="J73">
        <f>IMAGE("https://api.scryfall.com/cards/named?exact=Swords%20to%20Plowshares&amp;format=image&amp;version=normal")</f>
        <v/>
      </c>
      <c r="K73" t="inlineStr">
        <is>
          <t>1.33$</t>
        </is>
      </c>
      <c r="L73" t="inlineStr">
        <is>
          <t>Exile target creature. Its controller gains life equal to its power.</t>
        </is>
      </c>
    </row>
    <row r="74" ht="270" customHeight="1">
      <c r="A74" t="inlineStr">
        <is>
          <t>1</t>
        </is>
      </c>
      <c r="B74" t="inlineStr">
        <is>
          <t>Path of the Ghosthunter</t>
        </is>
      </c>
      <c r="C74" t="b">
        <v>1</v>
      </c>
      <c r="D74" t="b">
        <v>0</v>
      </c>
      <c r="E74" t="inlineStr"/>
      <c r="F74" t="inlineStr">
        <is>
          <t>On Theme</t>
        </is>
      </c>
      <c r="G74" t="inlineStr">
        <is>
          <t>Rare</t>
        </is>
      </c>
      <c r="H74" t="inlineStr">
        <is>
          <t>MOC</t>
        </is>
      </c>
      <c r="I74" t="inlineStr">
        <is>
          <t>2</t>
        </is>
      </c>
      <c r="J74">
        <f>IMAGE("https://api.scryfall.com/cards/named?exact=Path%20of%20the%20Ghosthunter&amp;format=image&amp;version=normal")</f>
        <v/>
      </c>
      <c r="K74" t="inlineStr">
        <is>
          <t>0.30$</t>
        </is>
      </c>
      <c r="L74" t="inlineStr">
        <is>
          <t>Create X 1/1 white Spirit creature tokens with flying.
Will of the Planeswalkers - Starting with you, each player votes for planeswalk or chaos. If planeswalk gets more votes, planeswalk. If chaos gets more votes or the vote is tied, chaos ensues.</t>
        </is>
      </c>
    </row>
    <row r="75" ht="270" customHeight="1">
      <c r="A75" t="inlineStr">
        <is>
          <t>1</t>
        </is>
      </c>
      <c r="B75" t="inlineStr">
        <is>
          <t>The Battle of Bywater</t>
        </is>
      </c>
      <c r="C75" t="b">
        <v>1</v>
      </c>
      <c r="D75" t="b">
        <v>0</v>
      </c>
      <c r="E75" t="inlineStr"/>
      <c r="F75" t="inlineStr">
        <is>
          <t>Wrath</t>
        </is>
      </c>
      <c r="G75" t="inlineStr">
        <is>
          <t>Rare</t>
        </is>
      </c>
      <c r="H75" t="inlineStr">
        <is>
          <t>LTR</t>
        </is>
      </c>
      <c r="I75" t="inlineStr">
        <is>
          <t>3</t>
        </is>
      </c>
      <c r="J75">
        <f>IMAGE("https://api.scryfall.com/cards/named?exact=The%20Battle%20of%20Bywater&amp;format=image&amp;version=normal")</f>
        <v/>
      </c>
      <c r="K75" t="inlineStr">
        <is>
          <t>3.08$</t>
        </is>
      </c>
      <c r="L75" t="inlineStr">
        <is>
          <t>Destroy all creatures with power 3 or greater. Then create a Food token for each creature you control. (It's an artifact with "{2}, {T}, Sacrifice this token: You gain 3 life.")</t>
        </is>
      </c>
    </row>
    <row r="76" ht="270" customHeight="1">
      <c r="A76" t="inlineStr">
        <is>
          <t>1</t>
        </is>
      </c>
      <c r="B76" t="inlineStr">
        <is>
          <t>Decree of Justice</t>
        </is>
      </c>
      <c r="C76" t="b">
        <v>1</v>
      </c>
      <c r="D76" t="b">
        <v>0</v>
      </c>
      <c r="E76" t="inlineStr"/>
      <c r="F76" t="inlineStr">
        <is>
          <t>On Theme</t>
        </is>
      </c>
      <c r="G76" t="inlineStr">
        <is>
          <t>Uncommon</t>
        </is>
      </c>
      <c r="H76" t="inlineStr">
        <is>
          <t>MH3</t>
        </is>
      </c>
      <c r="I76" t="inlineStr">
        <is>
          <t>4</t>
        </is>
      </c>
      <c r="J76">
        <f>IMAGE("https://api.scryfall.com/cards/named?exact=Decree%20of%20Justice&amp;format=image&amp;version=normal")</f>
        <v/>
      </c>
      <c r="K76" t="inlineStr">
        <is>
          <t>0.27$</t>
        </is>
      </c>
      <c r="L76" t="inlineStr">
        <is>
          <t>Create X 4/4 white Angel creature tokens with flying.
Cycling {2}{W} ({2}{W}, Discard this card: Draw a card.)
When you cycle this card, you may pay {X}. If you do, create X 1/1 white Soldier creature tokens.</t>
        </is>
      </c>
    </row>
    <row r="77" ht="270" customHeight="1">
      <c r="A77" t="inlineStr">
        <is>
          <t>1</t>
        </is>
      </c>
      <c r="B77" t="inlineStr">
        <is>
          <t>Expel the Interlopers</t>
        </is>
      </c>
      <c r="C77" t="b">
        <v>1</v>
      </c>
      <c r="D77" t="b">
        <v>1</v>
      </c>
      <c r="E77" t="inlineStr">
        <is>
          <t>Trimmed excess wrath to add on-theme engines.</t>
        </is>
      </c>
      <c r="F77" t="inlineStr">
        <is>
          <t>Wrath</t>
        </is>
      </c>
      <c r="G77" t="inlineStr">
        <is>
          <t>Rare</t>
        </is>
      </c>
      <c r="H77" t="inlineStr">
        <is>
          <t>TDC</t>
        </is>
      </c>
      <c r="I77" t="inlineStr">
        <is>
          <t>5</t>
        </is>
      </c>
      <c r="J77">
        <f>IMAGE("https://api.scryfall.com/cards/named?exact=Expel%20the%20Interlopers&amp;format=image&amp;version=normal")</f>
        <v/>
      </c>
      <c r="K77" t="inlineStr">
        <is>
          <t>0.28$</t>
        </is>
      </c>
      <c r="L77" t="inlineStr">
        <is>
          <t>Choose a number between 0 and 10. Destroy all creatures with power greater than or equal to the chosen number.</t>
        </is>
      </c>
    </row>
    <row r="78" ht="270" customHeight="1">
      <c r="A78" t="inlineStr">
        <is>
          <t>1</t>
        </is>
      </c>
      <c r="B78" t="inlineStr">
        <is>
          <t>Fell the Mighty</t>
        </is>
      </c>
      <c r="C78" t="b">
        <v>1</v>
      </c>
      <c r="D78" t="b">
        <v>1</v>
      </c>
      <c r="E78" t="inlineStr">
        <is>
          <t>Trimmed excess wrath to add on-theme engines.</t>
        </is>
      </c>
      <c r="F78" t="inlineStr">
        <is>
          <t>Wrath</t>
        </is>
      </c>
      <c r="G78" t="inlineStr">
        <is>
          <t>Rare</t>
        </is>
      </c>
      <c r="H78" t="inlineStr">
        <is>
          <t>MKC</t>
        </is>
      </c>
      <c r="I78" t="inlineStr">
        <is>
          <t>5</t>
        </is>
      </c>
      <c r="J78">
        <f>IMAGE("https://api.scryfall.com/cards/named?exact=Fell%20the%20Mighty&amp;format=image&amp;version=normal")</f>
        <v/>
      </c>
      <c r="K78" t="inlineStr">
        <is>
          <t>0.22$</t>
        </is>
      </c>
      <c r="L78" t="inlineStr">
        <is>
          <t>Destroy all creatures with power greater than target creature's power.</t>
        </is>
      </c>
    </row>
    <row r="79" ht="270" customHeight="1">
      <c r="A79" t="inlineStr">
        <is>
          <t>1</t>
        </is>
      </c>
      <c r="B79" t="inlineStr">
        <is>
          <t>Dusk // Dawn</t>
        </is>
      </c>
      <c r="C79" t="b">
        <v>1</v>
      </c>
      <c r="D79" t="b">
        <v>0</v>
      </c>
      <c r="E79" t="inlineStr"/>
      <c r="F79" t="inlineStr">
        <is>
          <t>Wrath</t>
        </is>
      </c>
      <c r="G79" t="inlineStr">
        <is>
          <t>Rare</t>
        </is>
      </c>
      <c r="H79" t="inlineStr">
        <is>
          <t>MKC</t>
        </is>
      </c>
      <c r="I79" t="inlineStr">
        <is>
          <t>9</t>
        </is>
      </c>
      <c r="J79">
        <f>IMAGE("https://api.scryfall.com/cards/named?exact=Dusk%20%2F%2F%20Dawn&amp;format=image&amp;version=normal")</f>
        <v/>
      </c>
      <c r="K79" t="inlineStr">
        <is>
          <t>0.32$</t>
        </is>
      </c>
      <c r="L79" t="inlineStr">
        <is>
          <t>Destroy all creatures with power 3 or greater. // Aftermath (Cast this spell only from your graveyard. Then exile it.)
Return all creature cards with power 2 or less from your graveyard to your hand.</t>
        </is>
      </c>
    </row>
    <row r="80" ht="270" customHeight="1">
      <c r="A80" t="inlineStr">
        <is>
          <t>1</t>
        </is>
      </c>
      <c r="B80" t="inlineStr">
        <is>
          <t>Glacial Fortress</t>
        </is>
      </c>
      <c r="C80" t="b">
        <v>1</v>
      </c>
      <c r="D80" t="b">
        <v>0</v>
      </c>
      <c r="E80" t="inlineStr"/>
      <c r="F80" t="inlineStr">
        <is>
          <t>Lands</t>
        </is>
      </c>
      <c r="G80" t="inlineStr">
        <is>
          <t>Rare</t>
        </is>
      </c>
      <c r="H80" t="inlineStr">
        <is>
          <t>EOC</t>
        </is>
      </c>
      <c r="I80" t="inlineStr">
        <is>
          <t>0</t>
        </is>
      </c>
      <c r="J80">
        <f>IMAGE("https://api.scryfall.com/cards/named?exact=Glacial%20Fortress&amp;format=image&amp;version=normal")</f>
        <v/>
      </c>
      <c r="K80" t="inlineStr">
        <is>
          <t>0.33$</t>
        </is>
      </c>
      <c r="L80" t="inlineStr">
        <is>
          <t>This land enters tapped unless you control a Plains or an Island.
{T}: Add {W} or {U}.</t>
        </is>
      </c>
    </row>
    <row r="81" ht="270" customHeight="1">
      <c r="A81" t="inlineStr">
        <is>
          <t>1</t>
        </is>
      </c>
      <c r="B81" t="inlineStr">
        <is>
          <t>Idyllic Beachfront</t>
        </is>
      </c>
      <c r="C81" t="b">
        <v>1</v>
      </c>
      <c r="D81" t="b">
        <v>0</v>
      </c>
      <c r="E81" t="inlineStr"/>
      <c r="F81" t="inlineStr">
        <is>
          <t>Lands</t>
        </is>
      </c>
      <c r="G81" t="inlineStr">
        <is>
          <t>Common</t>
        </is>
      </c>
      <c r="H81" t="inlineStr">
        <is>
          <t>DMU</t>
        </is>
      </c>
      <c r="I81" t="inlineStr">
        <is>
          <t>0</t>
        </is>
      </c>
      <c r="J81">
        <f>IMAGE("https://api.scryfall.com/cards/named?exact=Idyllic%20Beachfront&amp;format=image&amp;version=normal")</f>
        <v/>
      </c>
      <c r="K81" t="inlineStr">
        <is>
          <t>0.26$</t>
        </is>
      </c>
      <c r="L81" t="inlineStr">
        <is>
          <t>({T}: Add {W} or {U}.)
This land enters tapped.</t>
        </is>
      </c>
    </row>
    <row r="82" ht="270" customHeight="1">
      <c r="A82" t="inlineStr">
        <is>
          <t>1</t>
        </is>
      </c>
      <c r="B82" t="inlineStr">
        <is>
          <t>Irrigated Farmland</t>
        </is>
      </c>
      <c r="C82" t="b">
        <v>1</v>
      </c>
      <c r="D82" t="b">
        <v>0</v>
      </c>
      <c r="E82" t="inlineStr"/>
      <c r="F82" t="inlineStr">
        <is>
          <t>Lands</t>
        </is>
      </c>
      <c r="G82" t="inlineStr">
        <is>
          <t>Rare</t>
        </is>
      </c>
      <c r="H82" t="inlineStr">
        <is>
          <t>EOC</t>
        </is>
      </c>
      <c r="I82" t="inlineStr">
        <is>
          <t>0</t>
        </is>
      </c>
      <c r="J82">
        <f>IMAGE("https://api.scryfall.com/cards/named?exact=Irrigated%20Farmland&amp;format=image&amp;version=normal")</f>
        <v/>
      </c>
      <c r="K82" t="inlineStr">
        <is>
          <t>0.17$</t>
        </is>
      </c>
      <c r="L82" t="inlineStr">
        <is>
          <t>({T}: Add {W} or {U}.)
This land enters tapped.
Cycling {2} ({2}, Discard this card: Draw a card.)</t>
        </is>
      </c>
    </row>
    <row r="83" ht="270" customHeight="1">
      <c r="A83" t="inlineStr">
        <is>
          <t>14</t>
        </is>
      </c>
      <c r="B83" t="inlineStr">
        <is>
          <t>Island</t>
        </is>
      </c>
      <c r="C83" t="b">
        <v>1</v>
      </c>
      <c r="D83" t="b">
        <v>0</v>
      </c>
      <c r="E83" t="inlineStr"/>
      <c r="F83" t="inlineStr">
        <is>
          <t>Lands</t>
        </is>
      </c>
      <c r="G83" t="inlineStr">
        <is>
          <t>Common</t>
        </is>
      </c>
      <c r="H83" t="inlineStr">
        <is>
          <t>HOB</t>
        </is>
      </c>
      <c r="I83" t="inlineStr">
        <is>
          <t>0</t>
        </is>
      </c>
      <c r="J83">
        <f>IMAGE("https://api.scryfall.com/cards/named?exact=Island&amp;format=image&amp;version=normal")</f>
        <v/>
      </c>
      <c r="K83" t="inlineStr"/>
      <c r="L83" t="inlineStr">
        <is>
          <t>({T}: Add {U}.)</t>
        </is>
      </c>
    </row>
    <row r="84" ht="270" customHeight="1">
      <c r="A84" t="inlineStr">
        <is>
          <t>1</t>
        </is>
      </c>
      <c r="B84" t="inlineStr">
        <is>
          <t>North Pole Gates</t>
        </is>
      </c>
      <c r="C84" t="b">
        <v>1</v>
      </c>
      <c r="D84" t="b">
        <v>0</v>
      </c>
      <c r="E84" t="inlineStr"/>
      <c r="F84" t="inlineStr">
        <is>
          <t>Lands</t>
        </is>
      </c>
      <c r="G84" t="inlineStr">
        <is>
          <t>Common</t>
        </is>
      </c>
      <c r="H84" t="inlineStr">
        <is>
          <t>TLA</t>
        </is>
      </c>
      <c r="I84" t="inlineStr">
        <is>
          <t>0</t>
        </is>
      </c>
      <c r="J84">
        <f>IMAGE("https://api.scryfall.com/cards/named?exact=North%20Pole%20Gates&amp;format=image&amp;version=normal")</f>
        <v/>
      </c>
      <c r="K84" t="inlineStr">
        <is>
          <t>0.24$</t>
        </is>
      </c>
      <c r="L84" t="inlineStr">
        <is>
          <t>This land enters tapped.
{T}: Add {W} or {U}.
{4}, {T}, Sacrifice this land: Draw a card.</t>
        </is>
      </c>
    </row>
    <row r="85" ht="270" customHeight="1">
      <c r="A85" t="inlineStr">
        <is>
          <t>13</t>
        </is>
      </c>
      <c r="B85" t="inlineStr">
        <is>
          <t>Plains</t>
        </is>
      </c>
      <c r="C85" t="b">
        <v>1</v>
      </c>
      <c r="D85" t="b">
        <v>0</v>
      </c>
      <c r="E85" t="inlineStr"/>
      <c r="F85" t="inlineStr">
        <is>
          <t>Lands</t>
        </is>
      </c>
      <c r="G85" t="inlineStr">
        <is>
          <t>Common</t>
        </is>
      </c>
      <c r="H85" t="inlineStr">
        <is>
          <t>HOB</t>
        </is>
      </c>
      <c r="I85" t="inlineStr">
        <is>
          <t>0</t>
        </is>
      </c>
      <c r="J85">
        <f>IMAGE("https://api.scryfall.com/cards/named?exact=Plains&amp;format=image&amp;version=normal")</f>
        <v/>
      </c>
      <c r="K85" t="inlineStr"/>
      <c r="L85" t="inlineStr">
        <is>
          <t>({T}: Add {W}.)</t>
        </is>
      </c>
    </row>
    <row r="86" ht="270" customHeight="1">
      <c r="A86" t="inlineStr">
        <is>
          <t>1</t>
        </is>
      </c>
      <c r="B86" t="inlineStr">
        <is>
          <t>Port Town</t>
        </is>
      </c>
      <c r="C86" t="b">
        <v>1</v>
      </c>
      <c r="D86" t="b">
        <v>0</v>
      </c>
      <c r="E86" t="inlineStr"/>
      <c r="F86" t="inlineStr">
        <is>
          <t>Lands</t>
        </is>
      </c>
      <c r="G86" t="inlineStr">
        <is>
          <t>Rare</t>
        </is>
      </c>
      <c r="H86" t="inlineStr">
        <is>
          <t>CMM</t>
        </is>
      </c>
      <c r="I86" t="inlineStr">
        <is>
          <t>0</t>
        </is>
      </c>
      <c r="J86">
        <f>IMAGE("https://api.scryfall.com/cards/named?exact=Port%20Town&amp;format=image&amp;version=normal")</f>
        <v/>
      </c>
      <c r="K86" t="inlineStr">
        <is>
          <t>0.22$</t>
        </is>
      </c>
      <c r="L86" t="inlineStr">
        <is>
          <t>As this land enters, you may reveal a Plains or Island card from your hand. If you don't, this land enters tapped.
{T}: Add {W} or {U}.</t>
        </is>
      </c>
    </row>
    <row r="87" ht="270" customHeight="1">
      <c r="A87" t="inlineStr">
        <is>
          <t>1</t>
        </is>
      </c>
      <c r="B87" t="inlineStr">
        <is>
          <t>Prairie Stream</t>
        </is>
      </c>
      <c r="C87" t="b">
        <v>1</v>
      </c>
      <c r="D87" t="b">
        <v>0</v>
      </c>
      <c r="E87" t="inlineStr"/>
      <c r="F87" t="inlineStr">
        <is>
          <t>Lands</t>
        </is>
      </c>
      <c r="G87" t="inlineStr">
        <is>
          <t>Rare</t>
        </is>
      </c>
      <c r="H87" t="inlineStr">
        <is>
          <t>TDC</t>
        </is>
      </c>
      <c r="I87" t="inlineStr">
        <is>
          <t>0</t>
        </is>
      </c>
      <c r="J87">
        <f>IMAGE("https://api.scryfall.com/cards/named?exact=Prairie%20Stream&amp;format=image&amp;version=normal")</f>
        <v/>
      </c>
      <c r="K87" t="inlineStr">
        <is>
          <t>0.26$</t>
        </is>
      </c>
      <c r="L87" t="inlineStr">
        <is>
          <t>({T}: Add {W} or {U}.)
This land enters tapped unless you control two or more basic lands.</t>
        </is>
      </c>
    </row>
    <row r="88" ht="270" customHeight="1">
      <c r="A88" t="inlineStr">
        <is>
          <t>1</t>
        </is>
      </c>
      <c r="B88" t="inlineStr">
        <is>
          <t>Skycloud Expanse</t>
        </is>
      </c>
      <c r="C88" t="b">
        <v>1</v>
      </c>
      <c r="D88" t="b">
        <v>0</v>
      </c>
      <c r="E88" t="inlineStr"/>
      <c r="F88" t="inlineStr">
        <is>
          <t>Lands</t>
        </is>
      </c>
      <c r="G88" t="inlineStr">
        <is>
          <t>Rare</t>
        </is>
      </c>
      <c r="H88" t="inlineStr">
        <is>
          <t>EOC</t>
        </is>
      </c>
      <c r="I88" t="inlineStr">
        <is>
          <t>0</t>
        </is>
      </c>
      <c r="J88">
        <f>IMAGE("https://api.scryfall.com/cards/named?exact=Skycloud%20Expanse&amp;format=image&amp;version=normal")</f>
        <v/>
      </c>
      <c r="K88" t="inlineStr">
        <is>
          <t>0.27$</t>
        </is>
      </c>
      <c r="L88" t="inlineStr">
        <is>
          <t>{1}, {T}: Add {W}{U}.</t>
        </is>
      </c>
    </row>
    <row r="89" ht="270" customHeight="1">
      <c r="A89" t="inlineStr">
        <is>
          <t>1</t>
        </is>
      </c>
      <c r="B89" t="inlineStr">
        <is>
          <t>Temple of Enlightenment</t>
        </is>
      </c>
      <c r="C89" t="b">
        <v>1</v>
      </c>
      <c r="D89" t="b">
        <v>0</v>
      </c>
      <c r="E89" t="inlineStr"/>
      <c r="F89" t="inlineStr">
        <is>
          <t>Lands</t>
        </is>
      </c>
      <c r="G89" t="inlineStr">
        <is>
          <t>Rare</t>
        </is>
      </c>
      <c r="H89" t="inlineStr">
        <is>
          <t>EOC</t>
        </is>
      </c>
      <c r="I89" t="inlineStr">
        <is>
          <t>0</t>
        </is>
      </c>
      <c r="J89">
        <f>IMAGE("https://api.scryfall.com/cards/named?exact=Temple%20of%20Enlightenment&amp;format=image&amp;version=normal")</f>
        <v/>
      </c>
      <c r="K89" t="inlineStr">
        <is>
          <t>0.26$</t>
        </is>
      </c>
      <c r="L89" t="inlineStr">
        <is>
          <t>This land enters tapped.
When this land enters, scry 1. (Look at the top card of your library. You may put that card on the bottom.)
{T}: Add {W} or {U}.</t>
        </is>
      </c>
    </row>
    <row r="90" ht="270" customHeight="1">
      <c r="A90" t="inlineStr">
        <is>
          <t>1</t>
        </is>
      </c>
      <c r="B90" t="inlineStr">
        <is>
          <t>Thriving Heath</t>
        </is>
      </c>
      <c r="C90" t="b">
        <v>1</v>
      </c>
      <c r="D90" t="b">
        <v>0</v>
      </c>
      <c r="E90" t="inlineStr"/>
      <c r="F90" t="inlineStr">
        <is>
          <t>Lands</t>
        </is>
      </c>
      <c r="G90" t="inlineStr">
        <is>
          <t>Common</t>
        </is>
      </c>
      <c r="H90" t="inlineStr">
        <is>
          <t>ECC</t>
        </is>
      </c>
      <c r="I90" t="inlineStr">
        <is>
          <t>0</t>
        </is>
      </c>
      <c r="J90">
        <f>IMAGE("https://api.scryfall.com/cards/named?exact=Thriving%20Heath&amp;format=image&amp;version=normal")</f>
        <v/>
      </c>
      <c r="K90" t="inlineStr">
        <is>
          <t>0.23$</t>
        </is>
      </c>
      <c r="L90" t="inlineStr">
        <is>
          <t>This land enters tapped. As it enters, choose a color other than white.
{T}: Add {W} or one mana of the chosen color.</t>
        </is>
      </c>
    </row>
    <row r="91" ht="270" customHeight="1">
      <c r="A91" t="inlineStr">
        <is>
          <t>1</t>
        </is>
      </c>
      <c r="B91" t="inlineStr">
        <is>
          <t>Thriving Isle</t>
        </is>
      </c>
      <c r="C91" t="b">
        <v>1</v>
      </c>
      <c r="D91" t="b">
        <v>0</v>
      </c>
      <c r="E91" t="inlineStr"/>
      <c r="F91" t="inlineStr">
        <is>
          <t>Lands</t>
        </is>
      </c>
      <c r="G91" t="inlineStr">
        <is>
          <t>Common</t>
        </is>
      </c>
      <c r="H91" t="inlineStr">
        <is>
          <t>TMC</t>
        </is>
      </c>
      <c r="I91" t="inlineStr">
        <is>
          <t>0</t>
        </is>
      </c>
      <c r="J91">
        <f>IMAGE("https://api.scryfall.com/cards/named?exact=Thriving%20Isle&amp;format=image&amp;version=normal")</f>
        <v/>
      </c>
      <c r="K91" t="inlineStr">
        <is>
          <t>0.29$</t>
        </is>
      </c>
      <c r="L91" t="inlineStr">
        <is>
          <t>This land enters tapped. As it enters, choose a color other than blue.
{T}: Add {U} or one mana of the chosen color.</t>
        </is>
      </c>
    </row>
    <row r="92" ht="270" customHeight="1">
      <c r="A92" t="inlineStr">
        <is>
          <t>1</t>
        </is>
      </c>
      <c r="B92" t="inlineStr">
        <is>
          <t>Command Tower</t>
        </is>
      </c>
      <c r="C92" t="b">
        <v>0</v>
      </c>
      <c r="D92" t="b">
        <v>0</v>
      </c>
      <c r="E92" t="inlineStr"/>
      <c r="F92" t="inlineStr">
        <is>
          <t>Lands</t>
        </is>
      </c>
      <c r="G92" t="inlineStr">
        <is>
          <t>Common</t>
        </is>
      </c>
      <c r="H92" t="inlineStr">
        <is>
          <t>SOC</t>
        </is>
      </c>
      <c r="I92" t="inlineStr">
        <is>
          <t>0</t>
        </is>
      </c>
      <c r="J92">
        <f>IMAGE("https://api.scryfall.com/cards/named?exact=Command%20Tower&amp;format=image&amp;version=normal")</f>
        <v/>
      </c>
      <c r="K92" t="inlineStr">
        <is>
          <t>0.34$</t>
        </is>
      </c>
      <c r="L92" t="inlineStr">
        <is>
          <t>{T}: Add one mana of any color in your commander's color identity.</t>
        </is>
      </c>
    </row>
    <row r="93" ht="270" customHeight="1">
      <c r="A93" t="inlineStr">
        <is>
          <t>1</t>
        </is>
      </c>
      <c r="B93" t="inlineStr">
        <is>
          <t>Stalactite Dagger</t>
        </is>
      </c>
      <c r="C93" t="inlineStr"/>
      <c r="D93" t="b">
        <v>1</v>
      </c>
      <c r="E93" t="inlineStr">
        <is>
          <t>Trimmed low-impact equipment and one-shot/low-impact spells to add repeatable draw engines and explosive ramp.</t>
        </is>
      </c>
      <c r="F93" t="inlineStr">
        <is>
          <t>On Theme</t>
        </is>
      </c>
      <c r="G93" t="inlineStr">
        <is>
          <t>Common</t>
        </is>
      </c>
      <c r="H93" t="inlineStr">
        <is>
          <t>ECL</t>
        </is>
      </c>
      <c r="I93" t="inlineStr">
        <is>
          <t>2</t>
        </is>
      </c>
      <c r="J93">
        <f>IMAGE("https://api.scryfall.com/cards/named?exact=Stalactite%20Dagger&amp;format=image&amp;version=normal")</f>
        <v/>
      </c>
      <c r="K93" t="inlineStr">
        <is>
          <t>0.23$</t>
        </is>
      </c>
      <c r="L93" t="inlineStr">
        <is>
          <t>When this Equipment enters, create a 1/1 colorless Shapeshifter creature token with changeling. (It's every creature type.)
Equipped creature gets +1/+1 and is all creature types.
Equip {2} ({2}: Attach to target creature you control. Equip only as a sorcery.)</t>
        </is>
      </c>
    </row>
    <row r="94" ht="270" customHeight="1">
      <c r="A94" t="inlineStr">
        <is>
          <t>1</t>
        </is>
      </c>
      <c r="B94" t="inlineStr">
        <is>
          <t>Magitek Armor</t>
        </is>
      </c>
      <c r="C94" t="inlineStr"/>
      <c r="D94" t="b">
        <v>1</v>
      </c>
      <c r="E94" t="inlineStr">
        <is>
          <t>Trimmed low-impact equipment and one-shot/low-impact spells to add repeatable draw engines and explosive ramp.</t>
        </is>
      </c>
      <c r="F94" t="inlineStr">
        <is>
          <t>On Theme</t>
        </is>
      </c>
      <c r="G94" t="inlineStr">
        <is>
          <t>Uncommon</t>
        </is>
      </c>
      <c r="H94" t="inlineStr">
        <is>
          <t>FIN</t>
        </is>
      </c>
      <c r="I94" t="inlineStr">
        <is>
          <t>4</t>
        </is>
      </c>
      <c r="J94">
        <f>IMAGE("https://api.scryfall.com/cards/named?exact=Magitek%20Armor&amp;format=image&amp;version=normal")</f>
        <v/>
      </c>
      <c r="K94" t="inlineStr">
        <is>
          <t>0.06$</t>
        </is>
      </c>
      <c r="L94" t="inlineStr">
        <is>
          <t>When this Vehicle enters, create a 1/1 colorless Hero creature token.
Crew 1 (Tap any number of creatures you control with total power 1 or more: This Vehicle becomes an artifact creature until end of turn.)</t>
        </is>
      </c>
    </row>
    <row r="95" ht="270" customHeight="1">
      <c r="A95" t="inlineStr">
        <is>
          <t>1</t>
        </is>
      </c>
      <c r="B95" t="inlineStr">
        <is>
          <t>Stormbeacon Blade</t>
        </is>
      </c>
      <c r="C95" t="inlineStr"/>
      <c r="D95" t="b">
        <v>1</v>
      </c>
      <c r="E95" t="inlineStr">
        <is>
          <t>Trimmed low-impact equipment and one-shot/low-impact spells to add repeatable draw engines and explosive ramp.</t>
        </is>
      </c>
      <c r="F95" t="inlineStr">
        <is>
          <t>On Theme</t>
        </is>
      </c>
      <c r="G95" t="inlineStr">
        <is>
          <t>Uncommon</t>
        </is>
      </c>
      <c r="H95" t="inlineStr">
        <is>
          <t>TDM</t>
        </is>
      </c>
      <c r="I95" t="inlineStr">
        <is>
          <t>2</t>
        </is>
      </c>
      <c r="J95">
        <f>IMAGE("https://api.scryfall.com/cards/named?exact=Stormbeacon%20Blade&amp;format=image&amp;version=normal")</f>
        <v/>
      </c>
      <c r="K95" t="inlineStr">
        <is>
          <t>0.25$</t>
        </is>
      </c>
      <c r="L95" t="inlineStr">
        <is>
          <t>Equipped creature gets +3/+0.
Whenever equipped creature attacks, draw a card if you control three or more attacking creatures.
Equip {2} ({2}: Attach to target creature you control. Equip only as a sorcery.)</t>
        </is>
      </c>
    </row>
    <row r="96" ht="270" customHeight="1">
      <c r="A96" t="inlineStr">
        <is>
          <t>1</t>
        </is>
      </c>
      <c r="B96" t="inlineStr">
        <is>
          <t>Guarded Heir</t>
        </is>
      </c>
      <c r="C96" t="inlineStr"/>
      <c r="D96" t="b">
        <v>1</v>
      </c>
      <c r="E96" t="inlineStr">
        <is>
          <t>Trimmed low-impact equipment and one-shot/low-impact spells to add repeatable draw engines and explosive ramp.</t>
        </is>
      </c>
      <c r="F96" t="inlineStr">
        <is>
          <t>On Theme</t>
        </is>
      </c>
      <c r="G96" t="inlineStr">
        <is>
          <t>Uncommon</t>
        </is>
      </c>
      <c r="H96" t="inlineStr">
        <is>
          <t>FDN</t>
        </is>
      </c>
      <c r="I96" t="inlineStr">
        <is>
          <t>6</t>
        </is>
      </c>
      <c r="J96">
        <f>IMAGE("https://api.scryfall.com/cards/named?exact=Guarded%20Heir&amp;format=image&amp;version=normal")</f>
        <v/>
      </c>
      <c r="K96" t="inlineStr">
        <is>
          <t>0.11$</t>
        </is>
      </c>
      <c r="L96" t="inlineStr">
        <is>
          <t>Lifelink (Damage dealt by this creature also causes you to gain that much life.)
When this creature enters, create two 3/3 white Knight creature tokens.</t>
        </is>
      </c>
    </row>
    <row r="97" ht="270" customHeight="1">
      <c r="A97" t="inlineStr">
        <is>
          <t>1</t>
        </is>
      </c>
      <c r="B97" t="inlineStr">
        <is>
          <t>Kyoshi Warriors</t>
        </is>
      </c>
      <c r="C97" t="inlineStr"/>
      <c r="D97" t="b">
        <v>1</v>
      </c>
      <c r="E97" t="inlineStr">
        <is>
          <t>Trimmed low-impact equipment and one-shot/low-impact spells to add repeatable draw engines and explosive ramp.</t>
        </is>
      </c>
      <c r="F97" t="inlineStr">
        <is>
          <t>On Theme</t>
        </is>
      </c>
      <c r="G97" t="inlineStr">
        <is>
          <t>Common</t>
        </is>
      </c>
      <c r="H97" t="inlineStr">
        <is>
          <t>TLA</t>
        </is>
      </c>
      <c r="I97" t="inlineStr">
        <is>
          <t>4</t>
        </is>
      </c>
      <c r="J97">
        <f>IMAGE("https://api.scryfall.com/cards/named?exact=Kyoshi%20Warriors&amp;format=image&amp;version=normal")</f>
        <v/>
      </c>
      <c r="K97" t="inlineStr">
        <is>
          <t>0.12$</t>
        </is>
      </c>
      <c r="L97" t="inlineStr">
        <is>
          <t>When this creature enters, create a 1/1 white Ally creature token.</t>
        </is>
      </c>
    </row>
    <row r="98" ht="270" customHeight="1">
      <c r="A98" t="inlineStr">
        <is>
          <t>1</t>
        </is>
      </c>
      <c r="B98" t="inlineStr">
        <is>
          <t>Gather the White Lotus</t>
        </is>
      </c>
      <c r="C98" t="inlineStr"/>
      <c r="D98" t="b">
        <v>1</v>
      </c>
      <c r="E98" t="inlineStr">
        <is>
          <t>Trimmed low-impact equipment and one-shot/low-impact spells to add repeatable draw engines and explosive ramp.</t>
        </is>
      </c>
      <c r="F98" t="inlineStr">
        <is>
          <t>On Theme</t>
        </is>
      </c>
      <c r="G98" t="inlineStr">
        <is>
          <t>Uncommon</t>
        </is>
      </c>
      <c r="H98" t="inlineStr">
        <is>
          <t>TLA</t>
        </is>
      </c>
      <c r="I98" t="inlineStr">
        <is>
          <t>5</t>
        </is>
      </c>
      <c r="J98">
        <f>IMAGE("https://api.scryfall.com/cards/named?exact=Gather%20the%20White%20Lotus&amp;format=image&amp;version=normal")</f>
        <v/>
      </c>
      <c r="K98" t="inlineStr">
        <is>
          <t>0.15$</t>
        </is>
      </c>
      <c r="L98" t="inlineStr">
        <is>
          <t>Create a 1/1 white Ally creature token for each Plains you control. Scry 2. (Look at the top two cards of your library, then put any number of them on the bottom and the rest on top in any order.)</t>
        </is>
      </c>
    </row>
    <row r="99" ht="270" customHeight="1">
      <c r="A99" t="inlineStr">
        <is>
          <t>1</t>
        </is>
      </c>
      <c r="B99" t="inlineStr">
        <is>
          <t>March of the Canonized</t>
        </is>
      </c>
      <c r="C99" t="inlineStr"/>
      <c r="D99" t="b">
        <v>1</v>
      </c>
      <c r="E99" t="inlineStr">
        <is>
          <t>Trimmed low-impact equipment and one-shot/low-impact spells to add repeatable draw engines and explosive ramp.</t>
        </is>
      </c>
      <c r="F99" t="inlineStr">
        <is>
          <t>On Theme</t>
        </is>
      </c>
      <c r="G99" t="inlineStr">
        <is>
          <t>Rare</t>
        </is>
      </c>
      <c r="H99" t="inlineStr">
        <is>
          <t>LCC</t>
        </is>
      </c>
      <c r="I99" t="inlineStr">
        <is>
          <t>2</t>
        </is>
      </c>
      <c r="J99">
        <f>IMAGE("https://api.scryfall.com/cards/named?exact=March%20of%20the%20Canonized&amp;format=image&amp;version=normal")</f>
        <v/>
      </c>
      <c r="K99" t="inlineStr">
        <is>
          <t>0.31$</t>
        </is>
      </c>
      <c r="L99" t="inlineStr">
        <is>
          <t>When this enchantment enters, create X 1/1 white Vampire creature tokens with lifelink.
At the beginning of your upkeep, if your devotion to white and black is seven or greater, create a 4/3 white and black Vampire Demon creature token with flying.</t>
        </is>
      </c>
    </row>
    <row r="100" ht="270" customHeight="1">
      <c r="A100" t="inlineStr">
        <is>
          <t>1</t>
        </is>
      </c>
      <c r="B100" t="inlineStr">
        <is>
          <t>Release the Dogs</t>
        </is>
      </c>
      <c r="C100" t="inlineStr"/>
      <c r="D100" t="b">
        <v>1</v>
      </c>
      <c r="E100" t="inlineStr">
        <is>
          <t>Trimmed low-impact equipment and one-shot/low-impact spells to add repeatable draw engines and explosive ramp.</t>
        </is>
      </c>
      <c r="F100" t="inlineStr">
        <is>
          <t>On Theme</t>
        </is>
      </c>
      <c r="G100" t="inlineStr">
        <is>
          <t>Uncommon</t>
        </is>
      </c>
      <c r="H100" t="inlineStr">
        <is>
          <t>TDC</t>
        </is>
      </c>
      <c r="I100" t="inlineStr">
        <is>
          <t>4</t>
        </is>
      </c>
      <c r="J100">
        <f>IMAGE("https://api.scryfall.com/cards/named?exact=Release%20the%20Dogs&amp;format=image&amp;version=normal")</f>
        <v/>
      </c>
      <c r="K100" t="inlineStr">
        <is>
          <t>0.34$</t>
        </is>
      </c>
      <c r="L100" t="inlineStr">
        <is>
          <t>Create four 1/1 white Dog creature tokens.</t>
        </is>
      </c>
    </row>
    <row r="101" ht="270" customHeight="1">
      <c r="A101" t="inlineStr">
        <is>
          <t>1</t>
        </is>
      </c>
      <c r="B101" t="inlineStr">
        <is>
          <t>Prismatic Lens</t>
        </is>
      </c>
      <c r="C101" t="inlineStr"/>
      <c r="D101" t="b">
        <v>1</v>
      </c>
      <c r="E101" t="inlineStr">
        <is>
          <t>Trimmed low-impact equipment and one-shot/low-impact spells to add repeatable draw engines and explosive ramp.</t>
        </is>
      </c>
      <c r="F101" t="inlineStr">
        <is>
          <t>Ramp</t>
        </is>
      </c>
      <c r="G101" t="inlineStr">
        <is>
          <t>Uncommon</t>
        </is>
      </c>
      <c r="H101" t="inlineStr">
        <is>
          <t>OTC</t>
        </is>
      </c>
      <c r="I101" t="inlineStr">
        <is>
          <t>2</t>
        </is>
      </c>
      <c r="J101">
        <f>IMAGE("https://api.scryfall.com/cards/named?exact=Prismatic%20Lens&amp;format=image&amp;version=normal")</f>
        <v/>
      </c>
      <c r="K101" t="inlineStr">
        <is>
          <t>0.41$</t>
        </is>
      </c>
      <c r="L101" t="inlineStr">
        <is>
          <t>{T}: Add {C}.
{1}, {T}: Add one mana of any color.</t>
        </is>
      </c>
    </row>
    <row r="102" ht="270" customHeight="1">
      <c r="A102" t="inlineStr">
        <is>
          <t>1</t>
        </is>
      </c>
      <c r="B102" t="inlineStr">
        <is>
          <t>Cursed Windbreaker</t>
        </is>
      </c>
      <c r="C102" t="inlineStr"/>
      <c r="D102" t="b">
        <v>1</v>
      </c>
      <c r="E102" t="inlineStr">
        <is>
          <t>Trimmed low-impact equipment and one-shot/low-impact spells to add repeatable draw engines and explosive ramp.</t>
        </is>
      </c>
      <c r="F102" t="inlineStr">
        <is>
          <t>On Theme</t>
        </is>
      </c>
      <c r="G102" t="inlineStr">
        <is>
          <t>Uncommon</t>
        </is>
      </c>
      <c r="H102" t="inlineStr">
        <is>
          <t>DSK</t>
        </is>
      </c>
      <c r="I102" t="inlineStr">
        <is>
          <t>3</t>
        </is>
      </c>
      <c r="J102">
        <f>IMAGE("https://api.scryfall.com/cards/named?exact=Cursed%20Windbreaker&amp;format=image&amp;version=normal")</f>
        <v/>
      </c>
      <c r="K102" t="inlineStr">
        <is>
          <t>0.16$</t>
        </is>
      </c>
      <c r="L102" t="inlineStr">
        <is>
          <t>When this Equipment enters, manifest dread, then attach this Equipment to that creature. (Look at the top two cards of your library. Put one onto the battlefield face down as a 2/2 creature and the other into your graveyard. Turn it face up any time for its mana cost if it's a creature card.)
Equipped creature has flying.
Equip {3}</t>
        </is>
      </c>
    </row>
    <row r="103" ht="270" customHeight="1">
      <c r="A103" t="inlineStr">
        <is>
          <t>1</t>
        </is>
      </c>
      <c r="B103" t="inlineStr">
        <is>
          <t>Fire Nation Warship</t>
        </is>
      </c>
      <c r="C103" t="inlineStr"/>
      <c r="D103" t="b">
        <v>1</v>
      </c>
      <c r="E103" t="inlineStr">
        <is>
          <t>Trimmed low-impact equipment and one-shot/low-impact spells to add repeatable draw engines and explosive ramp.</t>
        </is>
      </c>
      <c r="F103" t="inlineStr">
        <is>
          <t>On Theme</t>
        </is>
      </c>
      <c r="G103" t="inlineStr">
        <is>
          <t>Uncommon</t>
        </is>
      </c>
      <c r="H103" t="inlineStr">
        <is>
          <t>TLA</t>
        </is>
      </c>
      <c r="I103" t="inlineStr">
        <is>
          <t>3</t>
        </is>
      </c>
      <c r="J103">
        <f>IMAGE("https://api.scryfall.com/cards/named?exact=Fire%20Nation%20Warship&amp;format=image&amp;version=normal")</f>
        <v/>
      </c>
      <c r="K103" t="inlineStr">
        <is>
          <t>0.13$</t>
        </is>
      </c>
      <c r="L103" t="inlineStr">
        <is>
          <t>Reach
When this Vehicle dies, create a Clue token. (It's an artifact with "{2}, Sacrifice this token: Draw a card.")
Crew 2 (Tap any number of creatures you control with total power 2 or more: This Vehicle becomes an artifact creature until end of turn.)</t>
        </is>
      </c>
    </row>
    <row r="104" ht="270" customHeight="1">
      <c r="A104" t="inlineStr">
        <is>
          <t>1</t>
        </is>
      </c>
      <c r="B104" t="inlineStr">
        <is>
          <t>Quick Study</t>
        </is>
      </c>
      <c r="C104" t="inlineStr"/>
      <c r="D104" t="b">
        <v>1</v>
      </c>
      <c r="E104" t="inlineStr">
        <is>
          <t>Trimmed low-impact equipment and one-shot/low-impact spells to add repeatable draw engines and explosive ramp.</t>
        </is>
      </c>
      <c r="F104" t="inlineStr">
        <is>
          <t>Card Advantage</t>
        </is>
      </c>
      <c r="G104" t="inlineStr">
        <is>
          <t>Common</t>
        </is>
      </c>
      <c r="H104" t="inlineStr">
        <is>
          <t>SOS</t>
        </is>
      </c>
      <c r="I104" t="inlineStr">
        <is>
          <t>3</t>
        </is>
      </c>
      <c r="J104">
        <f>IMAGE("https://api.scryfall.com/cards/named?exact=Quick%20Study&amp;format=image&amp;version=normal")</f>
        <v/>
      </c>
      <c r="K104" t="inlineStr">
        <is>
          <t>0.18$</t>
        </is>
      </c>
      <c r="L104" t="inlineStr">
        <is>
          <t>Draw two cards.</t>
        </is>
      </c>
    </row>
    <row r="105" ht="270" customHeight="1">
      <c r="A105" t="inlineStr">
        <is>
          <t>1</t>
        </is>
      </c>
      <c r="B105" t="inlineStr">
        <is>
          <t>Refute</t>
        </is>
      </c>
      <c r="C105" t="inlineStr"/>
      <c r="D105" t="b">
        <v>1</v>
      </c>
      <c r="E105" t="inlineStr">
        <is>
          <t>Trimmed low-impact equipment and one-shot/low-impact spells to add repeatable draw engines and explosive ramp.</t>
        </is>
      </c>
      <c r="F105" t="inlineStr">
        <is>
          <t>Interaction</t>
        </is>
      </c>
      <c r="G105" t="inlineStr">
        <is>
          <t>Common</t>
        </is>
      </c>
      <c r="H105" t="inlineStr">
        <is>
          <t>FDN</t>
        </is>
      </c>
      <c r="I105" t="inlineStr">
        <is>
          <t>3</t>
        </is>
      </c>
      <c r="J105">
        <f>IMAGE("https://api.scryfall.com/cards/named?exact=Refute&amp;format=image&amp;version=normal")</f>
        <v/>
      </c>
      <c r="K105" t="inlineStr">
        <is>
          <t>0.29$</t>
        </is>
      </c>
      <c r="L105" t="inlineStr">
        <is>
          <t>Counter target spell. Draw a card, then discard a card.</t>
        </is>
      </c>
    </row>
    <row r="106" ht="270" customHeight="1">
      <c r="A106" t="inlineStr">
        <is>
          <t>1</t>
        </is>
      </c>
      <c r="B106" t="inlineStr">
        <is>
          <t>The Crystal's Chosen</t>
        </is>
      </c>
      <c r="C106" t="inlineStr"/>
      <c r="D106" t="b">
        <v>1</v>
      </c>
      <c r="E106" t="inlineStr">
        <is>
          <t>Trimmed low-impact equipment and one-shot/low-impact spells to add repeatable draw engines and explosive ramp.</t>
        </is>
      </c>
      <c r="F106" t="inlineStr">
        <is>
          <t>On Theme</t>
        </is>
      </c>
      <c r="G106" t="inlineStr">
        <is>
          <t>Uncommon</t>
        </is>
      </c>
      <c r="H106" t="inlineStr">
        <is>
          <t>FIN</t>
        </is>
      </c>
      <c r="I106" t="inlineStr">
        <is>
          <t>7</t>
        </is>
      </c>
      <c r="J106">
        <f>IMAGE("https://api.scryfall.com/cards/named?exact=The%20Crystal%27s%20Chosen&amp;format=image&amp;version=normal")</f>
        <v/>
      </c>
      <c r="K106" t="inlineStr">
        <is>
          <t>0.15$</t>
        </is>
      </c>
      <c r="L106" t="inlineStr">
        <is>
          <t>Create four 1/1 colorless Hero creature tokens. Then put a +1/+1 counter on each creature you control.</t>
        </is>
      </c>
    </row>
    <row r="107" ht="270" customHeight="1">
      <c r="A107" t="inlineStr">
        <is>
          <t>1</t>
        </is>
      </c>
      <c r="B107" t="inlineStr">
        <is>
          <t>Team Avatar</t>
        </is>
      </c>
      <c r="C107" t="inlineStr"/>
      <c r="D107" t="b">
        <v>1</v>
      </c>
      <c r="E107" t="inlineStr">
        <is>
          <t>Trimmed low-impact equipment and one-shot/low-impact spells to add repeatable draw engines and explosive ramp.</t>
        </is>
      </c>
      <c r="F107" t="inlineStr">
        <is>
          <t>On Theme</t>
        </is>
      </c>
      <c r="G107" t="inlineStr">
        <is>
          <t>Uncommon</t>
        </is>
      </c>
      <c r="H107" t="inlineStr">
        <is>
          <t>TLA</t>
        </is>
      </c>
      <c r="I107" t="inlineStr">
        <is>
          <t>3</t>
        </is>
      </c>
      <c r="J107">
        <f>IMAGE("https://api.scryfall.com/cards/named?exact=Team%20Avatar&amp;format=image&amp;version=normal")</f>
        <v/>
      </c>
      <c r="K107" t="inlineStr">
        <is>
          <t>0.18$</t>
        </is>
      </c>
      <c r="L107" t="inlineStr">
        <is>
          <t>Whenever a creature you control attacks alone, it gets +X/+X until end of turn, where X is the number of creatures you control.
{2}{W}, Discard this card: It deals damage equal to the number of creatures you control to target creature.</t>
        </is>
      </c>
    </row>
    <row r="109">
      <c r="A109" t="inlineStr">
        <is>
          <t>Total Cost (Have Physical Copy = false)</t>
        </is>
      </c>
      <c r="K109" s="2">
        <f>SUMPRODUCT(--(LOWER(TEXT($C$2:$C$107,"@"))="false"),IFERROR(VALUE(SUBSTITUTE($K$2:$K$107,"$","")),0))</f>
        <v/>
      </c>
    </row>
  </sheetData>
  <conditionalFormatting sqref="C2:C107">
    <cfRule type="expression" priority="1" dxfId="0">
      <formula>=OR($C2=TRUE,LOWER(TEXT($C2,"@"))="true")</formula>
    </cfRule>
    <cfRule type="expression" priority="2" dxfId="1">
      <formula>=OR($C2=FALSE,LOWER(TEXT($C2,"@"))="false")</formula>
    </cfRule>
  </conditionalFormatting>
  <conditionalFormatting sqref="D2:D107">
    <cfRule type="expression" priority="3" dxfId="2">
      <formula>=OR($D2=TRUE,LOWER(TEXT($D2,"@"))="true")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Conditional formatting rules</t>
        </is>
      </c>
    </row>
    <row r="2">
      <c r="A2" t="inlineStr">
        <is>
          <t>Have Physical Copy: TRUE = green, FALSE = yellow</t>
        </is>
      </c>
    </row>
    <row r="3">
      <c r="A3" t="inlineStr">
        <is>
          <t>Cut: TRUE = red</t>
        </is>
      </c>
    </row>
    <row r="5">
      <c r="A5" t="inlineStr">
        <is>
          <t>Have Physical Copy formula (green)</t>
        </is>
      </c>
    </row>
    <row r="6">
      <c r="A6">
        <f>OR($C2=TRUE,LOWER(TEXT($C2,"@"))="true")</f>
        <v/>
      </c>
    </row>
    <row r="7">
      <c r="A7" t="inlineStr">
        <is>
          <t>Have Physical Copy formula (yellow)</t>
        </is>
      </c>
    </row>
    <row r="8">
      <c r="A8">
        <f>OR($C2=FALSE,LOWER(TEXT($C2,"@"))="false")</f>
        <v/>
      </c>
    </row>
    <row r="9">
      <c r="A9" t="inlineStr">
        <is>
          <t>Cut formula (red)</t>
        </is>
      </c>
    </row>
    <row r="10">
      <c r="A10">
        <f>OR($D2=TRUE,LOWER(TEXT($D2,"@"))="true")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2026-05-26T04:18:57Z</dcterms:created>
  <dcterms:modified xsi:type="dcterms:W3CDTF">2026-05-26T04:18:57Z</dcterms:modified>
</cp:coreProperties>
</file>